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ncravi\Downloads\sql-sales-analytics\sql-amazon-sales-analytics\"/>
    </mc:Choice>
  </mc:AlternateContent>
  <xr:revisionPtr revIDLastSave="0" documentId="13_ncr:1_{205AC675-BA1D-4F05-AFF3-4F4784113890}" xr6:coauthVersionLast="47" xr6:coauthVersionMax="47" xr10:uidLastSave="{00000000-0000-0000-0000-000000000000}"/>
  <bookViews>
    <workbookView xWindow="-110" yWindow="-110" windowWidth="19420" windowHeight="11500" activeTab="5" xr2:uid="{708BE06A-55DC-4EB6-A380-E5E994D2461E}"/>
  </bookViews>
  <sheets>
    <sheet name="Dashboard" sheetId="7" r:id="rId1"/>
    <sheet name="vw_category_performance" sheetId="2" r:id="rId2"/>
    <sheet name="vw_discount_analysis" sheetId="3" r:id="rId3"/>
    <sheet name="vw_kpi_summary" sheetId="4" r:id="rId4"/>
    <sheet name="vw_price_segment" sheetId="5" r:id="rId5"/>
    <sheet name="vw_top_products" sheetId="6" r:id="rId6"/>
  </sheets>
  <definedNames>
    <definedName name="ExternalData_1" localSheetId="1" hidden="1">vw_category_performance!$A$1:$D$10</definedName>
    <definedName name="ExternalData_2" localSheetId="2" hidden="1">vw_discount_analysis!$A$1:$C$92</definedName>
    <definedName name="ExternalData_3" localSheetId="3" hidden="1">vw_kpi_summary!$A$1:$D$2</definedName>
    <definedName name="ExternalData_4" localSheetId="4" hidden="1">vw_price_segment!$A$1:$C$2</definedName>
    <definedName name="ExternalData_5" localSheetId="5" hidden="1">vw_top_products!$A$1:$E$51</definedName>
    <definedName name="Slicer_main_categ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category_performance_5f13a2ab-634a-464e-8e71-9d4c366729b6" name="vw_category_performance" connection="Query - vw_category_performance"/>
          <x15:modelTable id="vw_discount_analysis_632e27e6-e993-499d-a72d-27c11d09a404" name="vw_discount_analysis" connection="Query - vw_discount_analysis"/>
          <x15:modelTable id="vw_kpi_summary_9281ebd6-0bf4-4cb6-abb8-c3d049aa3374" name="vw_kpi_summary" connection="Query - vw_kpi_summary"/>
          <x15:modelTable id="vw_price_segment_5a03fa0d-0a15-4e60-99f8-7dbc89556e7e" name="vw_price_segment" connection="Query - vw_price_segment"/>
          <x15:modelTable id="vw_top_products_6f539b57-b21f-4cf0-ad12-7d3de63efe67" name="vw_top_products" connection="Query - vw_top_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7" l="1"/>
  <c r="K2" i="7"/>
  <c r="J3" i="7"/>
  <c r="K3" i="7"/>
  <c r="J4" i="7"/>
  <c r="K4" i="7"/>
  <c r="J5" i="7"/>
  <c r="K5" i="7"/>
  <c r="J6" i="7"/>
  <c r="K6" i="7"/>
  <c r="J7" i="7"/>
  <c r="K7" i="7"/>
  <c r="J8" i="7"/>
  <c r="K8" i="7"/>
  <c r="J9" i="7"/>
  <c r="K9" i="7"/>
  <c r="J10" i="7"/>
  <c r="K10" i="7"/>
  <c r="D4" i="7"/>
  <c r="C4" i="7"/>
  <c r="B4" i="7"/>
  <c r="A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51F844-543F-4609-BA0C-AB8155E96731}" keepAlive="1" name="ModelConnection_ExternalData_1" description="Data Model" type="5" refreshedVersion="8" minRefreshableVersion="5" saveData="1">
    <dbPr connection="Data Model Connection" command="vw_category_performance" commandType="3"/>
    <extLst>
      <ext xmlns:x15="http://schemas.microsoft.com/office/spreadsheetml/2010/11/main" uri="{DE250136-89BD-433C-8126-D09CA5730AF9}">
        <x15:connection id="" model="1"/>
      </ext>
    </extLst>
  </connection>
  <connection id="2" xr16:uid="{EB80AB47-564D-4C56-8777-CF3D347CABBF}" keepAlive="1" name="ModelConnection_ExternalData_2" description="Data Model" type="5" refreshedVersion="8" minRefreshableVersion="5" saveData="1">
    <dbPr connection="Data Model Connection" command="vw_discount_analysis" commandType="3"/>
    <extLst>
      <ext xmlns:x15="http://schemas.microsoft.com/office/spreadsheetml/2010/11/main" uri="{DE250136-89BD-433C-8126-D09CA5730AF9}">
        <x15:connection id="" model="1"/>
      </ext>
    </extLst>
  </connection>
  <connection id="3" xr16:uid="{1EFF219B-14E5-4CA9-83C8-09F7B515E5B2}" keepAlive="1" name="ModelConnection_ExternalData_3" description="Data Model" type="5" refreshedVersion="8" minRefreshableVersion="5" saveData="1">
    <dbPr connection="Data Model Connection" command="vw_kpi_summary" commandType="3"/>
    <extLst>
      <ext xmlns:x15="http://schemas.microsoft.com/office/spreadsheetml/2010/11/main" uri="{DE250136-89BD-433C-8126-D09CA5730AF9}">
        <x15:connection id="" model="1"/>
      </ext>
    </extLst>
  </connection>
  <connection id="4" xr16:uid="{64DCA5B2-7106-4E06-83E0-A15EE1493BD8}" keepAlive="1" name="ModelConnection_ExternalData_4" description="Data Model" type="5" refreshedVersion="8" minRefreshableVersion="5" saveData="1">
    <dbPr connection="Data Model Connection" command="vw_price_segment" commandType="3"/>
    <extLst>
      <ext xmlns:x15="http://schemas.microsoft.com/office/spreadsheetml/2010/11/main" uri="{DE250136-89BD-433C-8126-D09CA5730AF9}">
        <x15:connection id="" model="1"/>
      </ext>
    </extLst>
  </connection>
  <connection id="5" xr16:uid="{A4017437-4BB9-4B61-AC44-44DA8FBE97B7}" keepAlive="1" name="ModelConnection_ExternalData_5" description="Data Model" type="5" refreshedVersion="8" minRefreshableVersion="5" saveData="1">
    <dbPr connection="Data Model Connection" command="vw_top_products" commandType="3"/>
    <extLst>
      <ext xmlns:x15="http://schemas.microsoft.com/office/spreadsheetml/2010/11/main" uri="{DE250136-89BD-433C-8126-D09CA5730AF9}">
        <x15:connection id="" model="1"/>
      </ext>
    </extLst>
  </connection>
  <connection id="6" xr16:uid="{E349EBE4-C12D-43A2-8255-78EF8DB3140D}" name="Query - vw_category_performance" description="Connection to the 'vw_category_performance' query in the workbook." type="100" refreshedVersion="8" minRefreshableVersion="5">
    <extLst>
      <ext xmlns:x15="http://schemas.microsoft.com/office/spreadsheetml/2010/11/main" uri="{DE250136-89BD-433C-8126-D09CA5730AF9}">
        <x15:connection id="2d3a41e6-b87b-4c40-b1a4-a33c80cf1fd8"/>
      </ext>
    </extLst>
  </connection>
  <connection id="7" xr16:uid="{ECBEAA0C-DA86-43BA-A342-034967227DDC}" name="Query - vw_discount_analysis" description="Connection to the 'vw_discount_analysis' query in the workbook." type="100" refreshedVersion="8" minRefreshableVersion="5">
    <extLst>
      <ext xmlns:x15="http://schemas.microsoft.com/office/spreadsheetml/2010/11/main" uri="{DE250136-89BD-433C-8126-D09CA5730AF9}">
        <x15:connection id="a21fd396-d99a-4265-ba2f-33b65f7058d3"/>
      </ext>
    </extLst>
  </connection>
  <connection id="8" xr16:uid="{C0829EFB-C882-42AF-82F6-809C3808A012}" name="Query - vw_kpi_summary" description="Connection to the 'vw_kpi_summary' query in the workbook." type="100" refreshedVersion="8" minRefreshableVersion="5">
    <extLst>
      <ext xmlns:x15="http://schemas.microsoft.com/office/spreadsheetml/2010/11/main" uri="{DE250136-89BD-433C-8126-D09CA5730AF9}">
        <x15:connection id="13894beb-16b7-49b4-a3bc-bf51391314d6"/>
      </ext>
    </extLst>
  </connection>
  <connection id="9" xr16:uid="{01D04A44-E4E8-4D2B-9CF5-2A282394221C}" name="Query - vw_price_segment" description="Connection to the 'vw_price_segment' query in the workbook." type="100" refreshedVersion="8" minRefreshableVersion="5">
    <extLst>
      <ext xmlns:x15="http://schemas.microsoft.com/office/spreadsheetml/2010/11/main" uri="{DE250136-89BD-433C-8126-D09CA5730AF9}">
        <x15:connection id="b5c9095b-c903-4cf3-a374-7abbd131e5f2"/>
      </ext>
    </extLst>
  </connection>
  <connection id="10" xr16:uid="{D0732008-A365-45C8-869B-5EC58CDE34CA}" name="Query - vw_top_products" description="Connection to the 'vw_top_products' query in the workbook." type="100" refreshedVersion="8" minRefreshableVersion="5">
    <extLst>
      <ext xmlns:x15="http://schemas.microsoft.com/office/spreadsheetml/2010/11/main" uri="{DE250136-89BD-433C-8126-D09CA5730AF9}">
        <x15:connection id="5a283c55-a2dc-4b6c-94a9-6f4d37d18573"/>
      </ext>
    </extLst>
  </connection>
  <connection id="11" xr16:uid="{5DC755D7-BAD6-4A9C-9FB2-8DDC4B13A1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<sst xmlns="http://schemas.openxmlformats.org/spreadsheetml/2006/main" count="140" uniqueCount="77">
  <si>
    <t>main_category</t>
  </si>
  <si>
    <t>total_products</t>
  </si>
  <si>
    <t>total_reviews</t>
  </si>
  <si>
    <t>avg_rating</t>
  </si>
  <si>
    <t>Car&amp;Motorbike</t>
  </si>
  <si>
    <t>Computers&amp;Accessories</t>
  </si>
  <si>
    <t>Electronics</t>
  </si>
  <si>
    <t>Health&amp;PersonalCare</t>
  </si>
  <si>
    <t>Home&amp;Kitchen</t>
  </si>
  <si>
    <t>HomeImprovement</t>
  </si>
  <si>
    <t>MusicalInstruments</t>
  </si>
  <si>
    <t>OfficeProducts</t>
  </si>
  <si>
    <t>Toys&amp;Games</t>
  </si>
  <si>
    <t>discount_pct_clean</t>
  </si>
  <si>
    <t>product_count</t>
  </si>
  <si>
    <t>avg_discount</t>
  </si>
  <si>
    <t>price_segment</t>
  </si>
  <si>
    <t>Luxury</t>
  </si>
  <si>
    <t>product_name</t>
  </si>
  <si>
    <t>discounted_price_clean</t>
  </si>
  <si>
    <t>rating_clean</t>
  </si>
  <si>
    <t>rating_count_clean</t>
  </si>
  <si>
    <t>AmazonBasics Flexible Premium HDMI Cable (Black, 4K@60Hz, 18Gbps), 3-Foot</t>
  </si>
  <si>
    <t>Amazon Basics High-Speed HDMI Cable, 6 Feet - Supports Ethernet, 3D, 4K video,Black</t>
  </si>
  <si>
    <t>Amazon Basics High-Speed HDMI Cable, 6 Feet (2-Pack),Black</t>
  </si>
  <si>
    <t>boAt Bassheads 100 in Ear Wired Earphones with Mic(Taffy Pink)</t>
  </si>
  <si>
    <t>boAt Bassheads 100 in Ear Wired Earphones with Mic(Furious Red)</t>
  </si>
  <si>
    <t>boAt BassHeads 100 in-Ear Wired Headphones with Mic (Black)</t>
  </si>
  <si>
    <t>Redmi 9 Activ (Carbon Black, 4GB RAM, 64GB Storage) | Octa-core Helio G35 | 5000 mAh Battery</t>
  </si>
  <si>
    <t>Redmi 9A Sport (Coral Green, 2GB RAM, 32GB Storage) | 2GHz Octa-core Helio G25 Processor | 5000 mAh Battery</t>
  </si>
  <si>
    <t>Redmi 9A Sport (Carbon Black, 2GB RAM, 32GB Storage) | 2GHz Octa-core Helio G25 Processor | 5000 mAh Battery</t>
  </si>
  <si>
    <t>Redmi 9A Sport (Coral Green, 3GB RAM, 32GB Storage) | 2GHz Octa-core Helio G25 Processor | 5000 mAh Battery</t>
  </si>
  <si>
    <t>boAt Bassheads 225 in Ear Wired Earphones with Mic(Blue)</t>
  </si>
  <si>
    <t>Pigeon Polypropylene Mini Handy and Compact Chopper with 3 Blades for Effortlessly Chopping Vegetables and Fruits for Your Kitchen (12420, Green, 400 ml)</t>
  </si>
  <si>
    <t>SanDisk Cruzer Blade 32GB USB Flash Drive</t>
  </si>
  <si>
    <t>SanDisk Extreme SD UHS I 64GB Card for 4K Video for DSLR and Mirrorless Cameras 170MB/s Read &amp; 80MB/s Write</t>
  </si>
  <si>
    <t>JBL C100SI Wired In Ear Headphones with Mic, JBL Pure Bass Sound, One Button Multi-function Remote, Angled Buds for Comfort fit (Black)</t>
  </si>
  <si>
    <t>JBL C100SI Wired In Ear Headphones with Mic, JBL Pure Bass Sound, One Button Multi-function Remote, Premium Metallic Finish, Angled Buds for Comfort fit (Red)</t>
  </si>
  <si>
    <t>SanDisk Ultra Dual 64 GB USB 3.0 OTG Pen Drive (Black)</t>
  </si>
  <si>
    <t>boAt Airdopes 121v2 in-Ear True Wireless Earbuds with Upto 14 Hours Playback, 8MM Drivers, Battery Indicators, Lightweight Earbuds &amp; Multifunction Controls (Active Black, with Mic)</t>
  </si>
  <si>
    <t>TP-Link Nano USB WiFi Dongle 150Mbps High Gain Wireless Network Wi-Fi Adapter for PC Desktop and Laptops, Supports Windows 10/8.1/8/7/XP, Linux, Mac OS X (TL-WN722N)</t>
  </si>
  <si>
    <t>TP-LINK WiFi Dongle 300 Mbps Mini Wireless Network USB Wi-Fi Adapter for PC Desktop Laptop(Supports Windows 11/10/8.1/8/7/XP, Mac OS 10.9-10.15 and Linux, WPS, Soft AP Mode, USB 2.0) (TL-WN823N),Black</t>
  </si>
  <si>
    <t>TP-Link USB WiFi Adapter for PC(TL-WN725N), N150 Wireless Network Adapter for Desktop - Nano Size WiFi Dongle Compatible with Windows 11/10/7/8/8.1/XP/ Mac OS 10.9-10.15 Linux Kernel 2.6.18-4.4.3</t>
  </si>
  <si>
    <t>MI Power Bank 3i 20000mAh Lithium Polymer 18W Fast Power Delivery Charging | Input- Type C | Micro USB| Triple Output | Sandstone Black</t>
  </si>
  <si>
    <t>Mi 10000mAH Li-Polymer, Micro-USB and Type C Input Port, Power Bank 3i with 18W Fast Charging (Midnight Black)</t>
  </si>
  <si>
    <t>MI 10000mAh 3i Lithium Polymer Power Bank Dual Input(Micro-USB and Type C) and Output Ports 18W Fast Charging (Metallic Blue)</t>
  </si>
  <si>
    <t>Amazon Basics USB A to Lightning MFi Certified Charging Cable (White, 1.2 meter)</t>
  </si>
  <si>
    <t>boAt Bassheads 242 in Ear Wired Earphones with Mic(Active Black)</t>
  </si>
  <si>
    <t>boAt Bassheads 242 in Ear Wired Earphones with Mic(Blue)</t>
  </si>
  <si>
    <t>TP-Link TL-WA850RE Single_Band 300Mbps RJ45 Wireless Range Extender, Broadband/Wi-Fi Extender, Wi-Fi Booster/Hotspot with 1 Ethernet Port, Plug and Play, Built-in Access Point Mode, White</t>
  </si>
  <si>
    <t>boAt Rockerz 255 Pro+ in-Ear Bluetooth Neckband with Upto 40 Hours Playback, ASAP  Charge, IPX7, Dual Pairing, BT v5.0, with Mic (Active Black)</t>
  </si>
  <si>
    <t>Samsung EVO Plus 128GB microSDXC UHS-I U3 130MB/s Full HD &amp; 4K UHD Memory Card with Adapter (MB-MC128KA), Blue</t>
  </si>
  <si>
    <t>Samsung EVO Plus 64GB microSDXC UHS-I U1 130MB/s Full HD &amp; 4K UHD Memory Card with Adapter (MB-MC64KA), Blue</t>
  </si>
  <si>
    <t>boAt Airdopes 141 Bluetooth Truly Wireless in Ear Earbuds with mic, 42H Playtime, Beast Mode(Low Latency Upto 80ms) for Gaming, ENx Tech, ASAP Charge, IWP, IPX4 Water Resistance (Bold Black)</t>
  </si>
  <si>
    <t>Nokia 105 Single SIM, Keypad Mobile Phone with Wireless FM Radio | Charcoal</t>
  </si>
  <si>
    <t>Nokia 105 Single SIM, Keypad Mobile Phone with Wireless FM Radio | Blue</t>
  </si>
  <si>
    <t>Nokia 105 Plus Single SIM, Keypad Mobile Phone with Wireless FM Radio, Memory Card Slot and MP3 Player | Red</t>
  </si>
  <si>
    <t>Nokia 105 Plus Single SIM, Keypad Mobile Phone with Wireless FM Radio, Memory Card Slot and MP3 Player | Charcoal</t>
  </si>
  <si>
    <t>Pigeon by Stovekraft Amaze Plus Electric Kettle (14289) with Stainless Steel Body, 1.5 litre, used for boiling Water, making tea and coffee, instant noodles, soup etc. 1500 Watt (Silver)</t>
  </si>
  <si>
    <t>TP-link N300 WiFi Wireless Router TL-WR845N | 300Mbps Wi-Fi Speed | Three 5dBi high gain Antennas | IPv6 Compatible | AP/RE/WISP Mode | Parental Control | Guest Network</t>
  </si>
  <si>
    <t>Xiaomi Mi Wired in Ear Earphones with Mic Basic with Ultra Deep Bass &amp; Aluminum Alloy Sound Chamber (Black)</t>
  </si>
  <si>
    <t>boAt Rockerz 330 in-Ear Bluetooth Neckband with Upto 30 Hours Playtime, ASAP  Charge, Signature Sound, Dual Pairing &amp; IPX5 with Mic (Active Black)</t>
  </si>
  <si>
    <t>AmazonBasics USB 2.0 Cable - A-Male to B-Male - for Personal Computer, Printer- 6 Feet (1.8 Meters), Black</t>
  </si>
  <si>
    <t>boAt Rockerz 450 Bluetooth On Ear Headphones with Mic, Upto 15 Hours Playback, 40MM Drivers, Padded Ear Cushions, Integrated Controls and Dual Modes(Luscious Black)</t>
  </si>
  <si>
    <t>Boult Audio Probass Curve Bluetooth Wireless in Ear Earphones with Mic with Ipx5 Water Resistant, 12H Battery Life &amp; Extra Bass (Black)</t>
  </si>
  <si>
    <t>Sennheiser CX 80S in-Ear Wired Headphones with in-line One-Button Smart Remote with Microphone Black</t>
  </si>
  <si>
    <t>boAt Rockerz 400 Bluetooth On Ear Headphones With Mic With Upto 8 Hours Playback &amp; Soft Padded Ear Cushions(Grey/Green)</t>
  </si>
  <si>
    <t>Amazon Product Performance Dashboard</t>
  </si>
  <si>
    <t>Total Products</t>
  </si>
  <si>
    <t>Total Reviews</t>
  </si>
  <si>
    <t>Avg Rating</t>
  </si>
  <si>
    <t>Avg Discount %</t>
  </si>
  <si>
    <t>📊 Visual Analytics</t>
  </si>
  <si>
    <t>📈 Pricing &amp; Discount Insights</t>
  </si>
  <si>
    <t>Category</t>
  </si>
  <si>
    <t>🏆 Top 10 Products by Reviews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</si>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</sst>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0"/>
  </numFmts>
  <fonts count="6">
    <font>
      <sz val="11"/>
      <color theme="1"/>
      <name val="Aptos Narrow"/>
      <family val="2"/>
      <scheme val="minor"/>
    </font>
    <font>
      <b/>
      <sz val="22"/>
      <color rgb="FFFFFFFF"/>
      <name val="Aptos Narrow"/>
      <family val="2"/>
      <scheme val="minor"/>
    </font>
    <font>
      <b/>
      <sz val="11"/>
      <color rgb="FFFFFFFF"/>
      <name val="Aptos Narrow"/>
      <family val="2"/>
      <scheme val="minor"/>
    </font>
    <font>
      <b/>
      <sz val="22"/>
      <color theme="1"/>
      <name val="Aptos Narrow"/>
      <family val="2"/>
      <scheme val="minor"/>
    </font>
    <font>
      <b/>
      <sz val="14"/>
      <color rgb="FFFFFFFF"/>
      <name val="Aptos Narrow"/>
      <family val="2"/>
      <scheme val="minor"/>
    </font>
    <font>
      <i/>
      <sz val="11"/>
      <color rgb="FF666666"/>
      <name val="Aptos Narrow"/>
      <family val="2"/>
      <scheme val="minor"/>
    </font>
  </fonts>
  <fills count="5">
    <fill>
      <patternFill patternType="none"/>
    </fill>
    <fill>
      <patternFill patternType="gray125"/>
    </fill>
    <fill>
      <patternFill patternType="solid">
        <fgColor rgb="FF232F3E"/>
        <bgColor indexed="64"/>
      </patternFill>
    </fill>
    <fill>
      <patternFill patternType="solid">
        <fgColor rgb="FFFF9900"/>
        <bgColor indexed="64"/>
      </patternFill>
    </fill>
    <fill>
      <patternFill patternType="solid">
        <fgColor rgb="FFF2F2F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2" fillId="3" borderId="0" xfId="0" applyFont="1" applyFill="1" applyAlignment="1">
      <alignment horizontal="center"/>
    </xf>
    <xf numFmtId="3" fontId="3" fillId="4" borderId="0" xfId="0" applyNumberFormat="1" applyFont="1" applyFill="1" applyAlignment="1">
      <alignment horizontal="center"/>
    </xf>
    <xf numFmtId="2" fontId="3" fillId="4" borderId="0" xfId="0" applyNumberFormat="1" applyFont="1" applyFill="1" applyAlignment="1">
      <alignment horizontal="center"/>
    </xf>
    <xf numFmtId="164" fontId="3" fillId="4" borderId="0" xfId="0" applyNumberFormat="1" applyFont="1" applyFill="1" applyAlignment="1">
      <alignment horizontal="center"/>
    </xf>
    <xf numFmtId="0" fontId="0" fillId="0" borderId="1" xfId="0" applyBorder="1"/>
    <xf numFmtId="0" fontId="0" fillId="0" borderId="1" xfId="0" applyBorder="1" applyAlignment="1">
      <alignment horizontal="center"/>
    </xf>
    <xf numFmtId="165" fontId="0" fillId="0" borderId="1" xfId="0" applyNumberFormat="1" applyBorder="1" applyAlignment="1">
      <alignment horizontal="center"/>
    </xf>
    <xf numFmtId="3" fontId="0" fillId="0" borderId="1" xfId="0" applyNumberFormat="1" applyBorder="1" applyAlignment="1">
      <alignment horizontal="right"/>
    </xf>
    <xf numFmtId="0" fontId="1" fillId="2" borderId="0" xfId="0" applyFont="1" applyFill="1" applyAlignment="1">
      <alignment horizontal="center"/>
    </xf>
    <xf numFmtId="0" fontId="4" fillId="2" borderId="0" xfId="0" applyFont="1" applyFill="1"/>
    <xf numFmtId="0" fontId="0" fillId="0" borderId="0" xfId="0"/>
    <xf numFmtId="0" fontId="5" fillId="0" borderId="0" xfId="0" applyFon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Engagement Concentrated in Few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vw_category_performance!$B$1</c:f>
              <c:strCache>
                <c:ptCount val="1"/>
                <c:pt idx="0">
                  <c:v>total_products</c:v>
                </c:pt>
              </c:strCache>
            </c:strRef>
          </c:tx>
          <c:spPr>
            <a:solidFill>
              <a:schemeClr val="accent1"/>
            </a:solidFill>
            <a:ln>
              <a:noFill/>
            </a:ln>
            <a:effectLst/>
          </c:spPr>
          <c:invertIfNegative val="0"/>
          <c:cat>
            <c:strRef>
              <c:f>vw_category_performance!$A$2:$A$10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vw_category_performance!$B$2:$B$10</c:f>
              <c:numCache>
                <c:formatCode>General</c:formatCode>
                <c:ptCount val="9"/>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807D-4FBA-9CC8-62A510556883}"/>
            </c:ext>
          </c:extLst>
        </c:ser>
        <c:dLbls>
          <c:showLegendKey val="0"/>
          <c:showVal val="0"/>
          <c:showCatName val="0"/>
          <c:showSerName val="0"/>
          <c:showPercent val="0"/>
          <c:showBubbleSize val="0"/>
        </c:dLbls>
        <c:gapWidth val="182"/>
        <c:axId val="511892127"/>
        <c:axId val="511892607"/>
      </c:barChart>
      <c:catAx>
        <c:axId val="51189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92607"/>
        <c:crosses val="autoZero"/>
        <c:auto val="1"/>
        <c:lblAlgn val="ctr"/>
        <c:lblOffset val="100"/>
        <c:noMultiLvlLbl val="0"/>
      </c:catAx>
      <c:valAx>
        <c:axId val="51189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9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Ratings Remain Stable Across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Dashboard!$K$1</c:f>
              <c:strCache>
                <c:ptCount val="1"/>
                <c:pt idx="0">
                  <c:v>Avg Rating</c:v>
                </c:pt>
              </c:strCache>
            </c:strRef>
          </c:tx>
          <c:spPr>
            <a:solidFill>
              <a:schemeClr val="accent1"/>
            </a:solidFill>
            <a:ln>
              <a:noFill/>
            </a:ln>
            <a:effectLst/>
          </c:spPr>
          <c:invertIfNegative val="0"/>
          <c:cat>
            <c:strRef>
              <c:f>Dashboard!$J$2:$J$10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Dashboard!$K$2:$K$10</c:f>
              <c:numCache>
                <c:formatCode>General</c:formatCode>
                <c:ptCount val="9"/>
                <c:pt idx="0">
                  <c:v>3.8</c:v>
                </c:pt>
                <c:pt idx="1">
                  <c:v>4.1549668874172152</c:v>
                </c:pt>
                <c:pt idx="2">
                  <c:v>4.0817490494296544</c:v>
                </c:pt>
                <c:pt idx="3">
                  <c:v>4</c:v>
                </c:pt>
                <c:pt idx="4">
                  <c:v>4.0407158836689012</c:v>
                </c:pt>
                <c:pt idx="5">
                  <c:v>4.25</c:v>
                </c:pt>
                <c:pt idx="6">
                  <c:v>3.9</c:v>
                </c:pt>
                <c:pt idx="7">
                  <c:v>4.3096774193548377</c:v>
                </c:pt>
                <c:pt idx="8">
                  <c:v>4.3</c:v>
                </c:pt>
              </c:numCache>
            </c:numRef>
          </c:val>
          <c:extLst>
            <c:ext xmlns:c16="http://schemas.microsoft.com/office/drawing/2014/chart" uri="{C3380CC4-5D6E-409C-BE32-E72D297353CC}">
              <c16:uniqueId val="{00000000-1C29-4567-A472-A1F2EC8AE0BD}"/>
            </c:ext>
          </c:extLst>
        </c:ser>
        <c:dLbls>
          <c:showLegendKey val="0"/>
          <c:showVal val="0"/>
          <c:showCatName val="0"/>
          <c:showSerName val="0"/>
          <c:showPercent val="0"/>
          <c:showBubbleSize val="0"/>
        </c:dLbls>
        <c:gapWidth val="219"/>
        <c:overlap val="-27"/>
        <c:axId val="1870610575"/>
        <c:axId val="1870611055"/>
      </c:barChart>
      <c:catAx>
        <c:axId val="18706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11055"/>
        <c:crosses val="autoZero"/>
        <c:auto val="1"/>
        <c:lblAlgn val="ctr"/>
        <c:lblOffset val="100"/>
        <c:noMultiLvlLbl val="0"/>
      </c:catAx>
      <c:valAx>
        <c:axId val="187061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1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Higher Discounts Do Not Improve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vw_discount_analysis!$B$1</c:f>
              <c:strCache>
                <c:ptCount val="1"/>
                <c:pt idx="0">
                  <c:v>avg_rating</c:v>
                </c:pt>
              </c:strCache>
            </c:strRef>
          </c:tx>
          <c:spPr>
            <a:ln w="38100" cap="rnd">
              <a:noFill/>
              <a:round/>
            </a:ln>
            <a:effectLst/>
          </c:spPr>
          <c:marker>
            <c:symbol val="circle"/>
            <c:size val="5"/>
            <c:spPr>
              <a:solidFill>
                <a:schemeClr val="accent1"/>
              </a:solidFill>
              <a:ln w="9525">
                <a:solidFill>
                  <a:schemeClr val="accent1"/>
                </a:solidFill>
              </a:ln>
              <a:effectLst/>
            </c:spPr>
          </c:marker>
          <c:xVal>
            <c:numRef>
              <c:f>vw_discount_analysis!$A$2:$A$92</c:f>
              <c:numCache>
                <c:formatCode>General</c:formatCode>
                <c:ptCount val="91"/>
                <c:pt idx="0">
                  <c:v>0</c:v>
                </c:pt>
                <c:pt idx="1">
                  <c:v>81</c:v>
                </c:pt>
                <c:pt idx="2">
                  <c:v>72</c:v>
                </c:pt>
                <c:pt idx="3">
                  <c:v>31</c:v>
                </c:pt>
                <c:pt idx="4">
                  <c:v>45</c:v>
                </c:pt>
                <c:pt idx="5">
                  <c:v>14</c:v>
                </c:pt>
                <c:pt idx="6">
                  <c:v>77</c:v>
                </c:pt>
                <c:pt idx="7">
                  <c:v>51</c:v>
                </c:pt>
                <c:pt idx="8">
                  <c:v>68</c:v>
                </c:pt>
                <c:pt idx="9">
                  <c:v>30</c:v>
                </c:pt>
                <c:pt idx="10">
                  <c:v>43</c:v>
                </c:pt>
                <c:pt idx="11">
                  <c:v>6</c:v>
                </c:pt>
                <c:pt idx="12">
                  <c:v>89</c:v>
                </c:pt>
                <c:pt idx="13">
                  <c:v>49</c:v>
                </c:pt>
                <c:pt idx="14">
                  <c:v>64</c:v>
                </c:pt>
                <c:pt idx="15">
                  <c:v>15</c:v>
                </c:pt>
                <c:pt idx="16">
                  <c:v>29</c:v>
                </c:pt>
                <c:pt idx="17">
                  <c:v>13</c:v>
                </c:pt>
                <c:pt idx="18">
                  <c:v>3</c:v>
                </c:pt>
                <c:pt idx="19">
                  <c:v>85</c:v>
                </c:pt>
                <c:pt idx="20">
                  <c:v>76</c:v>
                </c:pt>
                <c:pt idx="21">
                  <c:v>32</c:v>
                </c:pt>
                <c:pt idx="22">
                  <c:v>47</c:v>
                </c:pt>
                <c:pt idx="23">
                  <c:v>28</c:v>
                </c:pt>
                <c:pt idx="24">
                  <c:v>88</c:v>
                </c:pt>
                <c:pt idx="25">
                  <c:v>38</c:v>
                </c:pt>
                <c:pt idx="26">
                  <c:v>53</c:v>
                </c:pt>
                <c:pt idx="27">
                  <c:v>16</c:v>
                </c:pt>
                <c:pt idx="28">
                  <c:v>59</c:v>
                </c:pt>
                <c:pt idx="29">
                  <c:v>84</c:v>
                </c:pt>
                <c:pt idx="30">
                  <c:v>36</c:v>
                </c:pt>
                <c:pt idx="31">
                  <c:v>8</c:v>
                </c:pt>
                <c:pt idx="32">
                  <c:v>75</c:v>
                </c:pt>
                <c:pt idx="33">
                  <c:v>7</c:v>
                </c:pt>
                <c:pt idx="34">
                  <c:v>42</c:v>
                </c:pt>
                <c:pt idx="35">
                  <c:v>57</c:v>
                </c:pt>
                <c:pt idx="36">
                  <c:v>80</c:v>
                </c:pt>
                <c:pt idx="37">
                  <c:v>18</c:v>
                </c:pt>
                <c:pt idx="38">
                  <c:v>34</c:v>
                </c:pt>
                <c:pt idx="39">
                  <c:v>71</c:v>
                </c:pt>
                <c:pt idx="40">
                  <c:v>40</c:v>
                </c:pt>
                <c:pt idx="41">
                  <c:v>55</c:v>
                </c:pt>
                <c:pt idx="42">
                  <c:v>17</c:v>
                </c:pt>
                <c:pt idx="43">
                  <c:v>67</c:v>
                </c:pt>
                <c:pt idx="44">
                  <c:v>74</c:v>
                </c:pt>
                <c:pt idx="45">
                  <c:v>46</c:v>
                </c:pt>
                <c:pt idx="46">
                  <c:v>61</c:v>
                </c:pt>
                <c:pt idx="47">
                  <c:v>20</c:v>
                </c:pt>
                <c:pt idx="48">
                  <c:v>79</c:v>
                </c:pt>
                <c:pt idx="49">
                  <c:v>70</c:v>
                </c:pt>
                <c:pt idx="50">
                  <c:v>23</c:v>
                </c:pt>
                <c:pt idx="51">
                  <c:v>44</c:v>
                </c:pt>
                <c:pt idx="52">
                  <c:v>10</c:v>
                </c:pt>
                <c:pt idx="53">
                  <c:v>19</c:v>
                </c:pt>
                <c:pt idx="54">
                  <c:v>91</c:v>
                </c:pt>
                <c:pt idx="55">
                  <c:v>50</c:v>
                </c:pt>
                <c:pt idx="56">
                  <c:v>66</c:v>
                </c:pt>
                <c:pt idx="57">
                  <c:v>22</c:v>
                </c:pt>
                <c:pt idx="58">
                  <c:v>4</c:v>
                </c:pt>
                <c:pt idx="59">
                  <c:v>87</c:v>
                </c:pt>
                <c:pt idx="60">
                  <c:v>33</c:v>
                </c:pt>
                <c:pt idx="61">
                  <c:v>48</c:v>
                </c:pt>
                <c:pt idx="62">
                  <c:v>63</c:v>
                </c:pt>
                <c:pt idx="63">
                  <c:v>21</c:v>
                </c:pt>
                <c:pt idx="64">
                  <c:v>9</c:v>
                </c:pt>
                <c:pt idx="65">
                  <c:v>83</c:v>
                </c:pt>
                <c:pt idx="66">
                  <c:v>54</c:v>
                </c:pt>
                <c:pt idx="67">
                  <c:v>24</c:v>
                </c:pt>
                <c:pt idx="68">
                  <c:v>65</c:v>
                </c:pt>
                <c:pt idx="69">
                  <c:v>60</c:v>
                </c:pt>
                <c:pt idx="70">
                  <c:v>86</c:v>
                </c:pt>
                <c:pt idx="71">
                  <c:v>27</c:v>
                </c:pt>
                <c:pt idx="72">
                  <c:v>37</c:v>
                </c:pt>
                <c:pt idx="73">
                  <c:v>52</c:v>
                </c:pt>
                <c:pt idx="74">
                  <c:v>12</c:v>
                </c:pt>
                <c:pt idx="75">
                  <c:v>58</c:v>
                </c:pt>
                <c:pt idx="76">
                  <c:v>82</c:v>
                </c:pt>
                <c:pt idx="77">
                  <c:v>26</c:v>
                </c:pt>
                <c:pt idx="78">
                  <c:v>35</c:v>
                </c:pt>
                <c:pt idx="79">
                  <c:v>5</c:v>
                </c:pt>
                <c:pt idx="80">
                  <c:v>73</c:v>
                </c:pt>
                <c:pt idx="81">
                  <c:v>94</c:v>
                </c:pt>
                <c:pt idx="82">
                  <c:v>41</c:v>
                </c:pt>
                <c:pt idx="83">
                  <c:v>56</c:v>
                </c:pt>
                <c:pt idx="84">
                  <c:v>78</c:v>
                </c:pt>
                <c:pt idx="85">
                  <c:v>25</c:v>
                </c:pt>
                <c:pt idx="86">
                  <c:v>11</c:v>
                </c:pt>
                <c:pt idx="87">
                  <c:v>69</c:v>
                </c:pt>
                <c:pt idx="88">
                  <c:v>2</c:v>
                </c:pt>
                <c:pt idx="89">
                  <c:v>90</c:v>
                </c:pt>
                <c:pt idx="90">
                  <c:v>39</c:v>
                </c:pt>
              </c:numCache>
            </c:numRef>
          </c:xVal>
          <c:yVal>
            <c:numRef>
              <c:f>vw_discount_analysis!$B$2:$B$92</c:f>
              <c:numCache>
                <c:formatCode>General</c:formatCode>
                <c:ptCount val="91"/>
                <c:pt idx="0">
                  <c:v>4.2408163265306111</c:v>
                </c:pt>
                <c:pt idx="1">
                  <c:v>4.1857142857142851</c:v>
                </c:pt>
                <c:pt idx="2">
                  <c:v>3.9599999999999995</c:v>
                </c:pt>
                <c:pt idx="3">
                  <c:v>4.2285714285714286</c:v>
                </c:pt>
                <c:pt idx="4">
                  <c:v>3.9888888888888889</c:v>
                </c:pt>
                <c:pt idx="5">
                  <c:v>4.1363636363636367</c:v>
                </c:pt>
                <c:pt idx="6">
                  <c:v>3.8882352941176466</c:v>
                </c:pt>
                <c:pt idx="7">
                  <c:v>4.0823529411764703</c:v>
                </c:pt>
                <c:pt idx="8">
                  <c:v>4.1100000000000003</c:v>
                </c:pt>
                <c:pt idx="9">
                  <c:v>4.1333333333333337</c:v>
                </c:pt>
                <c:pt idx="10">
                  <c:v>4.0875000000000004</c:v>
                </c:pt>
                <c:pt idx="11">
                  <c:v>3.95</c:v>
                </c:pt>
                <c:pt idx="12">
                  <c:v>3.9</c:v>
                </c:pt>
                <c:pt idx="13">
                  <c:v>4.04</c:v>
                </c:pt>
                <c:pt idx="14">
                  <c:v>4.0571428571428569</c:v>
                </c:pt>
                <c:pt idx="15">
                  <c:v>4.2222222222222223</c:v>
                </c:pt>
                <c:pt idx="16">
                  <c:v>4.0750000000000002</c:v>
                </c:pt>
                <c:pt idx="17">
                  <c:v>4.1222222222222218</c:v>
                </c:pt>
                <c:pt idx="18">
                  <c:v>4.1999999999999993</c:v>
                </c:pt>
                <c:pt idx="19">
                  <c:v>3.899999999999999</c:v>
                </c:pt>
                <c:pt idx="20">
                  <c:v>4.0071428571428571</c:v>
                </c:pt>
                <c:pt idx="21">
                  <c:v>4.1250000000000009</c:v>
                </c:pt>
                <c:pt idx="22">
                  <c:v>4.1666666666666652</c:v>
                </c:pt>
                <c:pt idx="23">
                  <c:v>4.1366666666666667</c:v>
                </c:pt>
                <c:pt idx="24">
                  <c:v>3.8499999999999996</c:v>
                </c:pt>
                <c:pt idx="25">
                  <c:v>4.0676470588235283</c:v>
                </c:pt>
                <c:pt idx="26">
                  <c:v>4.1107142857142858</c:v>
                </c:pt>
                <c:pt idx="27">
                  <c:v>4.0571428571428569</c:v>
                </c:pt>
                <c:pt idx="28">
                  <c:v>4.081818181818182</c:v>
                </c:pt>
                <c:pt idx="29">
                  <c:v>3.9000000000000004</c:v>
                </c:pt>
                <c:pt idx="30">
                  <c:v>4.07</c:v>
                </c:pt>
                <c:pt idx="31">
                  <c:v>4</c:v>
                </c:pt>
                <c:pt idx="32">
                  <c:v>4.068965517241379</c:v>
                </c:pt>
                <c:pt idx="33">
                  <c:v>4.1999999999999993</c:v>
                </c:pt>
                <c:pt idx="34">
                  <c:v>4.2099999999999991</c:v>
                </c:pt>
                <c:pt idx="35">
                  <c:v>4.0363636363636353</c:v>
                </c:pt>
                <c:pt idx="36">
                  <c:v>4.0891891891891889</c:v>
                </c:pt>
                <c:pt idx="37">
                  <c:v>4.1083333333333334</c:v>
                </c:pt>
                <c:pt idx="38">
                  <c:v>4.0777777777777775</c:v>
                </c:pt>
                <c:pt idx="39">
                  <c:v>4.01</c:v>
                </c:pt>
                <c:pt idx="40">
                  <c:v>4.0785714285714292</c:v>
                </c:pt>
                <c:pt idx="41">
                  <c:v>4.1249999999999991</c:v>
                </c:pt>
                <c:pt idx="42">
                  <c:v>4.1181818181818173</c:v>
                </c:pt>
                <c:pt idx="43">
                  <c:v>3.9083333333333328</c:v>
                </c:pt>
                <c:pt idx="44">
                  <c:v>3.9666666666666668</c:v>
                </c:pt>
                <c:pt idx="45">
                  <c:v>4.1380952380952376</c:v>
                </c:pt>
                <c:pt idx="46">
                  <c:v>4.1250000000000009</c:v>
                </c:pt>
                <c:pt idx="47">
                  <c:v>4.2214285714285715</c:v>
                </c:pt>
                <c:pt idx="48">
                  <c:v>4.0249999999999995</c:v>
                </c:pt>
                <c:pt idx="49">
                  <c:v>4.1642857142857146</c:v>
                </c:pt>
                <c:pt idx="50">
                  <c:v>4.1545454545454543</c:v>
                </c:pt>
                <c:pt idx="51">
                  <c:v>4.1130434782608702</c:v>
                </c:pt>
                <c:pt idx="52">
                  <c:v>4.16</c:v>
                </c:pt>
                <c:pt idx="53">
                  <c:v>4.1333333333333329</c:v>
                </c:pt>
                <c:pt idx="54">
                  <c:v>4.2</c:v>
                </c:pt>
                <c:pt idx="55">
                  <c:v>4.0946428571428566</c:v>
                </c:pt>
                <c:pt idx="56">
                  <c:v>4.1954545454545453</c:v>
                </c:pt>
                <c:pt idx="57">
                  <c:v>4.126666666666666</c:v>
                </c:pt>
                <c:pt idx="58">
                  <c:v>4.2</c:v>
                </c:pt>
                <c:pt idx="59">
                  <c:v>3.8666666666666671</c:v>
                </c:pt>
                <c:pt idx="60">
                  <c:v>4.1363636363636367</c:v>
                </c:pt>
                <c:pt idx="61">
                  <c:v>3.968</c:v>
                </c:pt>
                <c:pt idx="62">
                  <c:v>4.1259259259259267</c:v>
                </c:pt>
                <c:pt idx="63">
                  <c:v>4.1571428571428575</c:v>
                </c:pt>
                <c:pt idx="64">
                  <c:v>4.2</c:v>
                </c:pt>
                <c:pt idx="65">
                  <c:v>3.96</c:v>
                </c:pt>
                <c:pt idx="66">
                  <c:v>3.9909090909090903</c:v>
                </c:pt>
                <c:pt idx="67">
                  <c:v>4.3071428571428569</c:v>
                </c:pt>
                <c:pt idx="68">
                  <c:v>4.0741935483870959</c:v>
                </c:pt>
                <c:pt idx="69">
                  <c:v>3.9910714285714279</c:v>
                </c:pt>
                <c:pt idx="70">
                  <c:v>3.6750000000000003</c:v>
                </c:pt>
                <c:pt idx="71">
                  <c:v>4.2133333333333338</c:v>
                </c:pt>
                <c:pt idx="72">
                  <c:v>4.1214285714285719</c:v>
                </c:pt>
                <c:pt idx="73">
                  <c:v>4.0769230769230766</c:v>
                </c:pt>
                <c:pt idx="74">
                  <c:v>4.26</c:v>
                </c:pt>
                <c:pt idx="75">
                  <c:v>4.0478260869565226</c:v>
                </c:pt>
                <c:pt idx="76">
                  <c:v>4.08</c:v>
                </c:pt>
                <c:pt idx="77">
                  <c:v>4.1142857142857139</c:v>
                </c:pt>
                <c:pt idx="78">
                  <c:v>4.0166666666666657</c:v>
                </c:pt>
                <c:pt idx="79">
                  <c:v>4.3000000000000007</c:v>
                </c:pt>
                <c:pt idx="80">
                  <c:v>4.15625</c:v>
                </c:pt>
                <c:pt idx="81">
                  <c:v>4.3</c:v>
                </c:pt>
                <c:pt idx="82">
                  <c:v>4.1523809523809518</c:v>
                </c:pt>
                <c:pt idx="83">
                  <c:v>4.1882352941176473</c:v>
                </c:pt>
                <c:pt idx="84">
                  <c:v>3.9266666666666663</c:v>
                </c:pt>
                <c:pt idx="85">
                  <c:v>4.1478260869565204</c:v>
                </c:pt>
                <c:pt idx="86">
                  <c:v>4.0375000000000005</c:v>
                </c:pt>
                <c:pt idx="87">
                  <c:v>4.1823529411764708</c:v>
                </c:pt>
                <c:pt idx="88">
                  <c:v>4.5</c:v>
                </c:pt>
                <c:pt idx="89">
                  <c:v>3.9874999999999998</c:v>
                </c:pt>
                <c:pt idx="90">
                  <c:v>4.1461538461538456</c:v>
                </c:pt>
              </c:numCache>
            </c:numRef>
          </c:yVal>
          <c:smooth val="0"/>
          <c:extLst>
            <c:ext xmlns:c16="http://schemas.microsoft.com/office/drawing/2014/chart" uri="{C3380CC4-5D6E-409C-BE32-E72D297353CC}">
              <c16:uniqueId val="{00000000-9AF4-46DC-97F6-83C528D405A0}"/>
            </c:ext>
          </c:extLst>
        </c:ser>
        <c:dLbls>
          <c:showLegendKey val="0"/>
          <c:showVal val="0"/>
          <c:showCatName val="0"/>
          <c:showSerName val="0"/>
          <c:showPercent val="0"/>
          <c:showBubbleSize val="0"/>
        </c:dLbls>
        <c:axId val="1867935279"/>
        <c:axId val="1867937679"/>
      </c:scatterChart>
      <c:valAx>
        <c:axId val="1867935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37679"/>
        <c:crosses val="autoZero"/>
        <c:crossBetween val="midCat"/>
      </c:valAx>
      <c:valAx>
        <c:axId val="186793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352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42319</xdr:rowOff>
    </xdr:from>
    <xdr:to>
      <xdr:col>2</xdr:col>
      <xdr:colOff>1016000</xdr:colOff>
      <xdr:row>25</xdr:row>
      <xdr:rowOff>129541</xdr:rowOff>
    </xdr:to>
    <xdr:graphicFrame macro="">
      <xdr:nvGraphicFramePr>
        <xdr:cNvPr id="2" name="Chart 1">
          <a:extLst>
            <a:ext uri="{FF2B5EF4-FFF2-40B4-BE49-F238E27FC236}">
              <a16:creationId xmlns:a16="http://schemas.microsoft.com/office/drawing/2014/main" id="{0CFF6CD6-E863-44D0-0858-BD22C984A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43180</xdr:rowOff>
    </xdr:from>
    <xdr:to>
      <xdr:col>2</xdr:col>
      <xdr:colOff>1016000</xdr:colOff>
      <xdr:row>46</xdr:row>
      <xdr:rowOff>78740</xdr:rowOff>
    </xdr:to>
    <xdr:graphicFrame macro="">
      <xdr:nvGraphicFramePr>
        <xdr:cNvPr id="5" name="Chart 4">
          <a:extLst>
            <a:ext uri="{FF2B5EF4-FFF2-40B4-BE49-F238E27FC236}">
              <a16:creationId xmlns:a16="http://schemas.microsoft.com/office/drawing/2014/main" id="{09CB3A65-01C0-D75B-E0C8-DACD05BEE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1143000</xdr:colOff>
      <xdr:row>27</xdr:row>
      <xdr:rowOff>43180</xdr:rowOff>
    </xdr:from>
    <xdr:to>
      <xdr:col>7</xdr:col>
      <xdr:colOff>139700</xdr:colOff>
      <xdr:row>46</xdr:row>
      <xdr:rowOff>78740</xdr:rowOff>
    </xdr:to>
    <xdr:graphicFrame macro="">
      <xdr:nvGraphicFramePr>
        <xdr:cNvPr id="6" name="Chart 5">
          <a:extLst>
            <a:ext uri="{FF2B5EF4-FFF2-40B4-BE49-F238E27FC236}">
              <a16:creationId xmlns:a16="http://schemas.microsoft.com/office/drawing/2014/main" id="{1186B8CC-1BE0-BE3D-7994-5B3B6B3AD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1684080</xdr:colOff>
      <xdr:row>6</xdr:row>
      <xdr:rowOff>60172</xdr:rowOff>
    </xdr:from>
    <xdr:to>
      <xdr:col>4</xdr:col>
      <xdr:colOff>1480387</xdr:colOff>
      <xdr:row>26</xdr:row>
      <xdr:rowOff>45895</xdr:rowOff>
    </xdr:to>
    <mc:AlternateContent xmlns:mc="http://schemas.openxmlformats.org/markup-compatibility/2006">
      <mc:Choice xmlns:sle15="http://schemas.microsoft.com/office/drawing/2012/slicer" Requires="sle15">
        <xdr:graphicFrame macro="">
          <xdr:nvGraphicFramePr>
            <xdr:cNvPr id="7" name="CategorySlicer">
              <a:extLst>
                <a:ext uri="{FF2B5EF4-FFF2-40B4-BE49-F238E27FC236}">
                  <a16:creationId xmlns:a16="http://schemas.microsoft.com/office/drawing/2014/main" id="{A8F1D3B6-0B90-57D0-A017-DBA1413BF523}"/>
                </a:ext>
              </a:extLst>
            </xdr:cNvPr>
            <xdr:cNvGraphicFramePr/>
          </xdr:nvGraphicFramePr>
          <xdr:xfrm>
            <a:off x="0" y="0"/>
            <a:ext cx="0" cy="0"/>
          </xdr:xfrm>
          <a:graphic>
            <a:graphicData uri="http://schemas.microsoft.com/office/drawing/2010/slicer">
              <sle:slicer xmlns:sle="http://schemas.microsoft.com/office/drawing/2010/slicer" name="CategorySlicer"/>
            </a:graphicData>
          </a:graphic>
        </xdr:graphicFrame>
      </mc:Choice>
      <mc:Fallback>
        <xdr:sp macro="" textlink="">
          <xdr:nvSpPr>
            <xdr:cNvPr id="0" name=""/>
            <xdr:cNvSpPr>
              <a:spLocks noTextEdit="1"/>
            </xdr:cNvSpPr>
          </xdr:nvSpPr>
          <xdr:spPr>
            <a:xfrm>
              <a:off x="7662373" y="1949684"/>
              <a:ext cx="2909355" cy="33930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46462</xdr:colOff>
      <xdr:row>49</xdr:row>
      <xdr:rowOff>46463</xdr:rowOff>
    </xdr:from>
    <xdr:to>
      <xdr:col>4</xdr:col>
      <xdr:colOff>1533292</xdr:colOff>
      <xdr:row>58</xdr:row>
      <xdr:rowOff>46463</xdr:rowOff>
    </xdr:to>
    <xdr:sp macro="" textlink="">
      <xdr:nvSpPr>
        <xdr:cNvPr id="3" name="TextBox 2">
          <a:extLst>
            <a:ext uri="{FF2B5EF4-FFF2-40B4-BE49-F238E27FC236}">
              <a16:creationId xmlns:a16="http://schemas.microsoft.com/office/drawing/2014/main" id="{B7EF32A2-B842-4BF0-A5E3-7112FA98308D}"/>
            </a:ext>
          </a:extLst>
        </xdr:cNvPr>
        <xdr:cNvSpPr txBox="1"/>
      </xdr:nvSpPr>
      <xdr:spPr>
        <a:xfrm>
          <a:off x="46462" y="9385609"/>
          <a:ext cx="10578171" cy="15332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t>🔹 Electronics &amp; Computers dominate (~85%)</a:t>
          </a:r>
        </a:p>
        <a:p>
          <a:r>
            <a:rPr lang="en-US" sz="2000" baseline="0"/>
            <a:t>🔹 Mid-range segment drives highest engagement</a:t>
          </a:r>
        </a:p>
        <a:p>
          <a:r>
            <a:rPr lang="en-US" sz="2000" baseline="0"/>
            <a:t>🔹 High discounts (&gt;70%) reduce perceived quality</a:t>
          </a:r>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18E6383-EE89-443B-B98C-BE7947AC66F3}" autoFormatId="16" applyNumberFormats="0" applyBorderFormats="0" applyFontFormats="0" applyPatternFormats="0" applyAlignmentFormats="0" applyWidthHeightFormats="0">
  <queryTableRefresh nextId="5">
    <queryTableFields count="4">
      <queryTableField id="1" name="main_category" tableColumnId="1"/>
      <queryTableField id="2" name="total_products" tableColumnId="2"/>
      <queryTableField id="3" name="total_reviews" tableColumnId="3"/>
      <queryTableField id="4" name="avg_rating" tableColumnId="4"/>
    </queryTableFields>
  </queryTableRefresh>
  <extLst>
    <ext xmlns:x15="http://schemas.microsoft.com/office/spreadsheetml/2010/11/main" uri="{883FBD77-0823-4a55-B5E3-86C4891E6966}">
      <x15:queryTable sourceDataName="Query - vw_category_performan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9223E01-336C-41AF-B4FD-5F63051F8FD4}" autoFormatId="16" applyNumberFormats="0" applyBorderFormats="0" applyFontFormats="0" applyPatternFormats="0" applyAlignmentFormats="0" applyWidthHeightFormats="0">
  <queryTableRefresh nextId="4">
    <queryTableFields count="3">
      <queryTableField id="1" name="discount_pct_clean" tableColumnId="1"/>
      <queryTableField id="2" name="avg_rating" tableColumnId="2"/>
      <queryTableField id="3" name="product_count" tableColumnId="3"/>
    </queryTableFields>
  </queryTableRefresh>
  <extLst>
    <ext xmlns:x15="http://schemas.microsoft.com/office/spreadsheetml/2010/11/main" uri="{883FBD77-0823-4a55-B5E3-86C4891E6966}">
      <x15:queryTable sourceDataName="Query - vw_discount_analysi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797C1B6-5683-4B24-ABAA-AB16BD5524C3}" autoFormatId="16" applyNumberFormats="0" applyBorderFormats="0" applyFontFormats="0" applyPatternFormats="0" applyAlignmentFormats="0" applyWidthHeightFormats="0">
  <queryTableRefresh nextId="5">
    <queryTableFields count="4">
      <queryTableField id="1" name="total_products" tableColumnId="1"/>
      <queryTableField id="2" name="total_reviews" tableColumnId="2"/>
      <queryTableField id="3" name="avg_rating" tableColumnId="3"/>
      <queryTableField id="4" name="avg_discount" tableColumnId="4"/>
    </queryTableFields>
  </queryTableRefresh>
  <extLst>
    <ext xmlns:x15="http://schemas.microsoft.com/office/spreadsheetml/2010/11/main" uri="{883FBD77-0823-4a55-B5E3-86C4891E6966}">
      <x15:queryTable sourceDataName="Query - vw_kpi_summar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14C6BF1-F545-46D6-AD7F-EE37CC1B095B}" autoFormatId="16" applyNumberFormats="0" applyBorderFormats="0" applyFontFormats="0" applyPatternFormats="0" applyAlignmentFormats="0" applyWidthHeightFormats="0">
  <queryTableRefresh nextId="4">
    <queryTableFields count="3">
      <queryTableField id="1" name="price_segment" tableColumnId="1"/>
      <queryTableField id="2" name="total_products" tableColumnId="2"/>
      <queryTableField id="3" name="avg_rating" tableColumnId="3"/>
    </queryTableFields>
  </queryTableRefresh>
  <extLst>
    <ext xmlns:x15="http://schemas.microsoft.com/office/spreadsheetml/2010/11/main" uri="{883FBD77-0823-4a55-B5E3-86C4891E6966}">
      <x15:queryTable sourceDataName="Query - vw_price_segmen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D41489B7-55CE-42E7-8D35-34355B093FE4}" autoFormatId="16" applyNumberFormats="0" applyBorderFormats="0" applyFontFormats="0" applyPatternFormats="0" applyAlignmentFormats="0" applyWidthHeightFormats="0">
  <queryTableRefresh nextId="6">
    <queryTableFields count="5">
      <queryTableField id="1" name="product_name" tableColumnId="1"/>
      <queryTableField id="2" name="main_category" tableColumnId="2"/>
      <queryTableField id="3" name="discounted_price_clean" tableColumnId="3"/>
      <queryTableField id="4" name="rating_clean" tableColumnId="4"/>
      <queryTableField id="5" name="rating_count_clean" tableColumnId="5"/>
    </queryTableFields>
  </queryTableRefresh>
  <extLst>
    <ext xmlns:x15="http://schemas.microsoft.com/office/spreadsheetml/2010/11/main" uri="{883FBD77-0823-4a55-B5E3-86C4891E6966}">
      <x15:queryTable sourceDataName="Query - vw_top_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0EE59FC6-1C57-4EA6-BBC0-C780CF21FCC2}" sourceName="main_catego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Slicer" xr10:uid="{8C98FCA2-2B21-4D18-9C11-6399E601DE38}" cache="Slicer_main_category" caption="Filter: Main 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6259F3-DCB7-4EA0-B5B3-EEA6440DAE9D}" name="vw_category_performance" displayName="vw_category_performance" ref="A1:D10" tableType="queryTable" totalsRowShown="0">
  <autoFilter ref="A1:D10" xr:uid="{066259F3-DCB7-4EA0-B5B3-EEA6440DAE9D}"/>
  <tableColumns count="4">
    <tableColumn id="1" xr3:uid="{F9EFE33D-7BAB-432D-BF16-C4D04246C5D1}" uniqueName="1" name="main_category" queryTableFieldId="1" dataDxfId="3"/>
    <tableColumn id="2" xr3:uid="{FC81B688-67C5-4D3A-AA13-8F818B3F272E}" uniqueName="2" name="total_products" queryTableFieldId="2"/>
    <tableColumn id="3" xr3:uid="{17AAC9B5-EF23-4CCB-B3FF-2415187FA8DC}" uniqueName="3" name="total_reviews" queryTableFieldId="3"/>
    <tableColumn id="4" xr3:uid="{F32D4046-47B3-4400-8425-CE5AFF6C8C83}" uniqueName="4" name="avg_rating"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B394E7-698F-4741-AB64-1E80B6336089}" name="vw_discount_analysis" displayName="vw_discount_analysis" ref="A1:C92" tableType="queryTable" totalsRowShown="0">
  <autoFilter ref="A1:C92" xr:uid="{4AB394E7-698F-4741-AB64-1E80B6336089}"/>
  <tableColumns count="3">
    <tableColumn id="1" xr3:uid="{57E2A76E-8357-4869-9E03-9B31F0D678AA}" uniqueName="1" name="discount_pct_clean" queryTableFieldId="1"/>
    <tableColumn id="2" xr3:uid="{D00C3DFA-06CC-4EF4-A22B-08342028B77B}" uniqueName="2" name="avg_rating" queryTableFieldId="2"/>
    <tableColumn id="3" xr3:uid="{8FED682E-EE52-403E-9AFE-50FE6E333AC3}" uniqueName="3" name="product_count"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0242D0-1A9D-4857-9E0E-9D1EADABF0ED}" name="vw_kpi_summary" displayName="vw_kpi_summary" ref="A1:D2" tableType="queryTable" totalsRowShown="0">
  <autoFilter ref="A1:D2" xr:uid="{820242D0-1A9D-4857-9E0E-9D1EADABF0ED}"/>
  <tableColumns count="4">
    <tableColumn id="1" xr3:uid="{AFDAE4CF-42DC-4BE6-810B-EE7718896216}" uniqueName="1" name="total_products" queryTableFieldId="1"/>
    <tableColumn id="2" xr3:uid="{62295020-89F1-4E12-8149-D136878AF4E8}" uniqueName="2" name="total_reviews" queryTableFieldId="2"/>
    <tableColumn id="3" xr3:uid="{AB375F9B-BE50-4B3F-965F-7E9D8FF2941A}" uniqueName="3" name="avg_rating" queryTableFieldId="3"/>
    <tableColumn id="4" xr3:uid="{96340A18-4AAE-4C2B-A1ED-63FAE0711E25}" uniqueName="4" name="avg_discount"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68AF00-0929-400E-B639-D477FE2D58F5}" name="vw_price_segment" displayName="vw_price_segment" ref="A1:C2" tableType="queryTable" totalsRowShown="0">
  <autoFilter ref="A1:C2" xr:uid="{8968AF00-0929-400E-B639-D477FE2D58F5}"/>
  <tableColumns count="3">
    <tableColumn id="1" xr3:uid="{9CC68BA2-6C9A-478E-BECE-65F4E603EA95}" uniqueName="1" name="price_segment" queryTableFieldId="1" dataDxfId="2"/>
    <tableColumn id="2" xr3:uid="{A425335E-2CDC-4EBC-A8E0-EA43EADCA42D}" uniqueName="2" name="total_products" queryTableFieldId="2"/>
    <tableColumn id="3" xr3:uid="{C495A3D2-AB6D-4C4D-AAD8-90DAC6527B1F}" uniqueName="3" name="avg_rating"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3A8464-E18C-4ECD-B06F-E40335A5F741}" name="vw_top_products" displayName="vw_top_products" ref="A1:E51" tableType="queryTable" totalsRowShown="0">
  <autoFilter ref="A1:E51" xr:uid="{4C3A8464-E18C-4ECD-B06F-E40335A5F741}"/>
  <tableColumns count="5">
    <tableColumn id="1" xr3:uid="{3253FF95-1596-4230-A308-768D3EB93017}" uniqueName="1" name="product_name" queryTableFieldId="1" dataDxfId="1"/>
    <tableColumn id="2" xr3:uid="{0D7098FC-B151-4E93-B4AD-103D98968D7D}" uniqueName="2" name="main_category" queryTableFieldId="2" dataDxfId="0"/>
    <tableColumn id="3" xr3:uid="{7AF42A40-D9FE-441D-B39F-55BB4CC191D1}" uniqueName="3" name="discounted_price_clean" queryTableFieldId="3"/>
    <tableColumn id="4" xr3:uid="{425FEF38-5353-4B1F-943A-2E88FF8CA157}" uniqueName="4" name="rating_clean" queryTableFieldId="4"/>
    <tableColumn id="5" xr3:uid="{A3A4F585-5CF9-47E5-B725-4324F1DADD5A}" uniqueName="5" name="rating_count_clean"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3AD503-290E-4C56-9B32-8EFEE6079278}">
  <we:reference id="wa200009404" version="1.0.0.8" store="en-US" storeType="OMEX"/>
  <we:alternateReferences>
    <we:reference id="WA200009404" version="1.0.0.8" store="" storeType="OMEX"/>
  </we:alternateReferences>
  <we:properties>
    <we:property name="claude.fileId" value="&quot;af2521ec-26a8-4652-a85e-f27dd6fb96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4347-4C7C-4A9C-A3C3-D6D39C01D879}">
  <dimension ref="A1:K60"/>
  <sheetViews>
    <sheetView zoomScale="41" workbookViewId="0">
      <selection activeCell="G55" sqref="G55"/>
    </sheetView>
  </sheetViews>
  <sheetFormatPr defaultRowHeight="14"/>
  <cols>
    <col min="1" max="1" width="13.6640625" customWidth="1"/>
    <col min="2" max="2" width="64.75" customWidth="1"/>
    <col min="3" max="3" width="25.9140625" customWidth="1"/>
    <col min="4" max="4" width="14.75" customWidth="1"/>
    <col min="5" max="8" width="20.33203125" customWidth="1"/>
    <col min="10" max="11" width="8.9140625" customWidth="1"/>
  </cols>
  <sheetData>
    <row r="1" spans="1:11" ht="40" customHeight="1">
      <c r="A1" s="9" t="s">
        <v>67</v>
      </c>
      <c r="B1" s="9"/>
      <c r="C1" s="9"/>
      <c r="D1" s="9"/>
      <c r="E1" s="9"/>
      <c r="F1" s="9"/>
      <c r="G1" s="9"/>
      <c r="H1" s="9"/>
      <c r="J1" t="s">
        <v>74</v>
      </c>
      <c r="K1" t="s">
        <v>70</v>
      </c>
    </row>
    <row r="2" spans="1:11" ht="14.4">
      <c r="J2" t="str">
        <f>vw_category_performance!A2</f>
        <v>Car&amp;Motorbike</v>
      </c>
      <c r="K2">
        <f>vw_category_performance!D2</f>
        <v>3.8</v>
      </c>
    </row>
    <row r="3" spans="1:11" ht="14.4">
      <c r="A3" s="1" t="s">
        <v>68</v>
      </c>
      <c r="B3" s="1" t="s">
        <v>69</v>
      </c>
      <c r="C3" s="1" t="s">
        <v>70</v>
      </c>
      <c r="D3" s="1" t="s">
        <v>71</v>
      </c>
      <c r="J3" t="str">
        <f>vw_category_performance!A3</f>
        <v>Computers&amp;Accessories</v>
      </c>
      <c r="K3">
        <f>vw_category_performance!D3</f>
        <v>4.1549668874172152</v>
      </c>
    </row>
    <row r="4" spans="1:11" ht="50" customHeight="1">
      <c r="A4" s="2">
        <f>vw_kpi_summary!A2</f>
        <v>1465</v>
      </c>
      <c r="B4" s="2">
        <f>vw_kpi_summary!B2</f>
        <v>26766377</v>
      </c>
      <c r="C4" s="3">
        <f>vw_kpi_summary!C2</f>
        <v>4.0965846994535662</v>
      </c>
      <c r="D4" s="4">
        <f>vw_kpi_summary!D2</f>
        <v>47.691467576791808</v>
      </c>
      <c r="J4" t="str">
        <f>vw_category_performance!A4</f>
        <v>Electronics</v>
      </c>
      <c r="K4">
        <f>vw_category_performance!D4</f>
        <v>4.0817490494296544</v>
      </c>
    </row>
    <row r="5" spans="1:11" ht="14.4">
      <c r="J5" t="str">
        <f>vw_category_performance!A5</f>
        <v>Health&amp;PersonalCare</v>
      </c>
      <c r="K5">
        <f>vw_category_performance!D5</f>
        <v>4</v>
      </c>
    </row>
    <row r="6" spans="1:11" ht="18">
      <c r="A6" s="10" t="s">
        <v>72</v>
      </c>
      <c r="B6" s="10"/>
      <c r="C6" s="10"/>
      <c r="D6" s="10"/>
      <c r="E6" s="10"/>
      <c r="F6" s="10"/>
      <c r="G6" s="10"/>
      <c r="H6" s="10"/>
      <c r="J6" t="str">
        <f>vw_category_performance!A6</f>
        <v>Home&amp;Kitchen</v>
      </c>
      <c r="K6">
        <f>vw_category_performance!D6</f>
        <v>4.0407158836689012</v>
      </c>
    </row>
    <row r="7" spans="1:11" ht="14.4">
      <c r="J7" t="str">
        <f>vw_category_performance!A7</f>
        <v>HomeImprovement</v>
      </c>
      <c r="K7">
        <f>vw_category_performance!D7</f>
        <v>4.25</v>
      </c>
    </row>
    <row r="8" spans="1:11" ht="14.4">
      <c r="J8" t="str">
        <f>vw_category_performance!A8</f>
        <v>MusicalInstruments</v>
      </c>
      <c r="K8">
        <f>vw_category_performance!D8</f>
        <v>3.9</v>
      </c>
    </row>
    <row r="9" spans="1:11" ht="14.4">
      <c r="J9" t="str">
        <f>vw_category_performance!A9</f>
        <v>OfficeProducts</v>
      </c>
      <c r="K9">
        <f>vw_category_performance!D9</f>
        <v>4.3096774193548377</v>
      </c>
    </row>
    <row r="10" spans="1:11" ht="14.4">
      <c r="J10" t="str">
        <f>vw_category_performance!A10</f>
        <v>Toys&amp;Games</v>
      </c>
      <c r="K10">
        <f>vw_category_performance!D10</f>
        <v>4.3</v>
      </c>
    </row>
    <row r="30" spans="1:8" ht="18">
      <c r="A30" s="10" t="s">
        <v>73</v>
      </c>
      <c r="B30" s="11"/>
      <c r="C30" s="11"/>
      <c r="D30" s="11"/>
      <c r="E30" s="11"/>
      <c r="F30" s="11"/>
      <c r="G30" s="11"/>
      <c r="H30" s="11"/>
    </row>
    <row r="46" spans="1:8" ht="18">
      <c r="A46" s="10" t="s">
        <v>75</v>
      </c>
      <c r="B46" s="11"/>
      <c r="C46" s="11"/>
      <c r="D46" s="11"/>
      <c r="E46" s="11"/>
      <c r="F46" s="11"/>
      <c r="G46" s="11"/>
      <c r="H46" s="11"/>
    </row>
    <row r="48" spans="1:8">
      <c r="A48" s="1"/>
      <c r="B48" s="1"/>
      <c r="C48" s="1"/>
      <c r="D48" s="1"/>
      <c r="E48" s="1"/>
    </row>
    <row r="49" spans="1:8">
      <c r="A49" s="6"/>
      <c r="B49" s="5"/>
      <c r="C49" s="5"/>
      <c r="D49" s="7"/>
      <c r="E49" s="8"/>
    </row>
    <row r="50" spans="1:8">
      <c r="A50" s="13"/>
      <c r="B50" s="14"/>
      <c r="C50" s="14"/>
      <c r="D50" s="14"/>
      <c r="E50" s="15"/>
    </row>
    <row r="51" spans="1:8">
      <c r="A51" s="16"/>
      <c r="B51" s="17"/>
      <c r="C51" s="17"/>
      <c r="D51" s="17"/>
      <c r="E51" s="18"/>
    </row>
    <row r="52" spans="1:8">
      <c r="A52" s="16"/>
      <c r="B52" s="17"/>
      <c r="C52" s="17"/>
      <c r="D52" s="17"/>
      <c r="E52" s="18"/>
    </row>
    <row r="53" spans="1:8">
      <c r="A53" s="16"/>
      <c r="B53" s="17"/>
      <c r="C53" s="17"/>
      <c r="D53" s="17"/>
      <c r="E53" s="18"/>
    </row>
    <row r="54" spans="1:8">
      <c r="A54" s="16"/>
      <c r="B54" s="17"/>
      <c r="C54" s="17"/>
      <c r="D54" s="17"/>
      <c r="E54" s="18"/>
    </row>
    <row r="55" spans="1:8">
      <c r="A55" s="16"/>
      <c r="B55" s="17"/>
      <c r="C55" s="17"/>
      <c r="D55" s="17"/>
      <c r="E55" s="18"/>
    </row>
    <row r="56" spans="1:8">
      <c r="A56" s="16"/>
      <c r="B56" s="17"/>
      <c r="C56" s="17"/>
      <c r="D56" s="17"/>
      <c r="E56" s="18"/>
    </row>
    <row r="57" spans="1:8">
      <c r="A57" s="16"/>
      <c r="B57" s="17"/>
      <c r="C57" s="17"/>
      <c r="D57" s="17"/>
      <c r="E57" s="18"/>
    </row>
    <row r="58" spans="1:8">
      <c r="A58" s="19"/>
      <c r="B58" s="20"/>
      <c r="C58" s="20"/>
      <c r="D58" s="20"/>
      <c r="E58" s="21"/>
    </row>
    <row r="60" spans="1:8" ht="14.5">
      <c r="A60" s="12"/>
      <c r="B60" s="12"/>
      <c r="C60" s="12"/>
      <c r="D60" s="12"/>
      <c r="E60" s="12"/>
      <c r="F60" s="12"/>
      <c r="G60" s="12"/>
      <c r="H60" s="12"/>
    </row>
  </sheetData>
  <mergeCells count="6">
    <mergeCell ref="A1:H1"/>
    <mergeCell ref="A6:H6"/>
    <mergeCell ref="A46:H46"/>
    <mergeCell ref="A60:H60"/>
    <mergeCell ref="A30:H30"/>
    <mergeCell ref="A50:E58"/>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229F-8500-4A4E-AD74-170ECE40719C}">
  <dimension ref="A1:F22"/>
  <sheetViews>
    <sheetView workbookViewId="0">
      <selection activeCell="F22" sqref="F22"/>
    </sheetView>
  </sheetViews>
  <sheetFormatPr defaultRowHeight="14"/>
  <cols>
    <col min="1" max="1" width="21.33203125" bestFit="1" customWidth="1"/>
    <col min="2" max="2" width="15.4140625" bestFit="1" customWidth="1"/>
    <col min="3" max="3" width="14.25" bestFit="1" customWidth="1"/>
    <col min="4" max="4" width="12" bestFit="1" customWidth="1"/>
  </cols>
  <sheetData>
    <row r="1" spans="1:4" ht="14.4">
      <c r="A1" t="s">
        <v>0</v>
      </c>
      <c r="B1" t="s">
        <v>1</v>
      </c>
      <c r="C1" t="s">
        <v>2</v>
      </c>
      <c r="D1" t="s">
        <v>3</v>
      </c>
    </row>
    <row r="2" spans="1:4" ht="14.4">
      <c r="A2" t="s">
        <v>4</v>
      </c>
      <c r="B2">
        <v>1</v>
      </c>
      <c r="C2">
        <v>1118</v>
      </c>
      <c r="D2">
        <v>3.8</v>
      </c>
    </row>
    <row r="3" spans="1:4" ht="14.4">
      <c r="A3" t="s">
        <v>5</v>
      </c>
      <c r="B3">
        <v>453</v>
      </c>
      <c r="C3">
        <v>7728689</v>
      </c>
      <c r="D3">
        <v>4.1549668874172152</v>
      </c>
    </row>
    <row r="4" spans="1:4" ht="14.4">
      <c r="A4" t="s">
        <v>6</v>
      </c>
      <c r="B4">
        <v>526</v>
      </c>
      <c r="C4">
        <v>15778848</v>
      </c>
      <c r="D4">
        <v>4.0817490494296544</v>
      </c>
    </row>
    <row r="5" spans="1:4" ht="14.4">
      <c r="A5" t="s">
        <v>7</v>
      </c>
      <c r="B5">
        <v>1</v>
      </c>
      <c r="C5">
        <v>3663</v>
      </c>
      <c r="D5">
        <v>4</v>
      </c>
    </row>
    <row r="6" spans="1:4" ht="14.4">
      <c r="A6" t="s">
        <v>8</v>
      </c>
      <c r="B6">
        <v>448</v>
      </c>
      <c r="C6">
        <v>2991069</v>
      </c>
      <c r="D6">
        <v>4.0407158836689012</v>
      </c>
    </row>
    <row r="7" spans="1:4" ht="14.4">
      <c r="A7" t="s">
        <v>9</v>
      </c>
      <c r="B7">
        <v>2</v>
      </c>
      <c r="C7">
        <v>8566</v>
      </c>
      <c r="D7">
        <v>4.25</v>
      </c>
    </row>
    <row r="8" spans="1:4" ht="14.4">
      <c r="A8" t="s">
        <v>10</v>
      </c>
      <c r="B8">
        <v>2</v>
      </c>
      <c r="C8">
        <v>88882</v>
      </c>
      <c r="D8">
        <v>3.9</v>
      </c>
    </row>
    <row r="9" spans="1:4" ht="14.4">
      <c r="A9" t="s">
        <v>11</v>
      </c>
      <c r="B9">
        <v>31</v>
      </c>
      <c r="C9">
        <v>149675</v>
      </c>
      <c r="D9">
        <v>4.3096774193548377</v>
      </c>
    </row>
    <row r="10" spans="1:4" ht="14.4">
      <c r="A10" t="s">
        <v>12</v>
      </c>
      <c r="B10">
        <v>1</v>
      </c>
      <c r="C10">
        <v>15867</v>
      </c>
      <c r="D10">
        <v>4.3</v>
      </c>
    </row>
    <row r="22" spans="6:6" ht="14.4">
      <c r="F22"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3CBF-1398-4D40-A007-A634CDCE2E73}">
  <dimension ref="A1:C93"/>
  <sheetViews>
    <sheetView topLeftCell="A4" workbookViewId="0">
      <selection activeCell="B25" sqref="B25"/>
    </sheetView>
  </sheetViews>
  <sheetFormatPr defaultRowHeight="14"/>
  <cols>
    <col min="1" max="1" width="19.58203125" bestFit="1" customWidth="1"/>
    <col min="2" max="2" width="12" bestFit="1" customWidth="1"/>
    <col min="3" max="3" width="15.33203125" bestFit="1" customWidth="1"/>
  </cols>
  <sheetData>
    <row r="1" spans="1:3">
      <c r="A1" t="s">
        <v>13</v>
      </c>
      <c r="B1" t="s">
        <v>3</v>
      </c>
      <c r="C1" t="s">
        <v>14</v>
      </c>
    </row>
    <row r="2" spans="1:3">
      <c r="A2">
        <v>0</v>
      </c>
      <c r="B2">
        <v>4.2408163265306111</v>
      </c>
      <c r="C2">
        <v>49</v>
      </c>
    </row>
    <row r="3" spans="1:3">
      <c r="A3">
        <v>81</v>
      </c>
      <c r="B3">
        <v>4.1857142857142851</v>
      </c>
      <c r="C3">
        <v>7</v>
      </c>
    </row>
    <row r="4" spans="1:3">
      <c r="A4">
        <v>72</v>
      </c>
      <c r="B4">
        <v>3.9599999999999995</v>
      </c>
      <c r="C4">
        <v>5</v>
      </c>
    </row>
    <row r="5" spans="1:3">
      <c r="A5">
        <v>31</v>
      </c>
      <c r="B5">
        <v>4.2285714285714286</v>
      </c>
      <c r="C5">
        <v>14</v>
      </c>
    </row>
    <row r="6" spans="1:3">
      <c r="A6">
        <v>45</v>
      </c>
      <c r="B6">
        <v>3.9888888888888889</v>
      </c>
      <c r="C6">
        <v>18</v>
      </c>
    </row>
    <row r="7" spans="1:3">
      <c r="A7">
        <v>14</v>
      </c>
      <c r="B7">
        <v>4.1363636363636367</v>
      </c>
      <c r="C7">
        <v>11</v>
      </c>
    </row>
    <row r="8" spans="1:3">
      <c r="A8">
        <v>77</v>
      </c>
      <c r="B8">
        <v>3.8882352941176466</v>
      </c>
      <c r="C8">
        <v>17</v>
      </c>
    </row>
    <row r="9" spans="1:3">
      <c r="A9">
        <v>51</v>
      </c>
      <c r="B9">
        <v>4.0823529411764703</v>
      </c>
      <c r="C9">
        <v>17</v>
      </c>
    </row>
    <row r="10" spans="1:3">
      <c r="A10">
        <v>68</v>
      </c>
      <c r="B10">
        <v>4.1100000000000003</v>
      </c>
      <c r="C10">
        <v>10</v>
      </c>
    </row>
    <row r="11" spans="1:3">
      <c r="A11">
        <v>30</v>
      </c>
      <c r="B11">
        <v>4.1333333333333337</v>
      </c>
      <c r="C11">
        <v>12</v>
      </c>
    </row>
    <row r="12" spans="1:3">
      <c r="A12">
        <v>43</v>
      </c>
      <c r="B12">
        <v>4.0875000000000004</v>
      </c>
      <c r="C12">
        <v>32</v>
      </c>
    </row>
    <row r="13" spans="1:3">
      <c r="A13">
        <v>6</v>
      </c>
      <c r="B13">
        <v>3.95</v>
      </c>
      <c r="C13">
        <v>4</v>
      </c>
    </row>
    <row r="14" spans="1:3">
      <c r="A14">
        <v>89</v>
      </c>
      <c r="B14">
        <v>3.9</v>
      </c>
      <c r="C14">
        <v>1</v>
      </c>
    </row>
    <row r="15" spans="1:3">
      <c r="A15">
        <v>49</v>
      </c>
      <c r="B15">
        <v>4.04</v>
      </c>
      <c r="C15">
        <v>15</v>
      </c>
    </row>
    <row r="16" spans="1:3">
      <c r="A16">
        <v>64</v>
      </c>
      <c r="B16">
        <v>4.0571428571428569</v>
      </c>
      <c r="C16">
        <v>21</v>
      </c>
    </row>
    <row r="17" spans="1:3">
      <c r="A17">
        <v>15</v>
      </c>
      <c r="B17">
        <v>4.2222222222222223</v>
      </c>
      <c r="C17">
        <v>9</v>
      </c>
    </row>
    <row r="18" spans="1:3">
      <c r="A18">
        <v>29</v>
      </c>
      <c r="B18">
        <v>4.0750000000000002</v>
      </c>
      <c r="C18">
        <v>16</v>
      </c>
    </row>
    <row r="19" spans="1:3">
      <c r="A19">
        <v>13</v>
      </c>
      <c r="B19">
        <v>4.1222222222222218</v>
      </c>
      <c r="C19">
        <v>9</v>
      </c>
    </row>
    <row r="20" spans="1:3">
      <c r="A20">
        <v>3</v>
      </c>
      <c r="B20">
        <v>4.1999999999999993</v>
      </c>
      <c r="C20">
        <v>3</v>
      </c>
    </row>
    <row r="21" spans="1:3">
      <c r="A21">
        <v>85</v>
      </c>
      <c r="B21">
        <v>3.899999999999999</v>
      </c>
      <c r="C21">
        <v>12</v>
      </c>
    </row>
    <row r="22" spans="1:3">
      <c r="A22">
        <v>76</v>
      </c>
      <c r="B22">
        <v>4.0071428571428571</v>
      </c>
      <c r="C22">
        <v>14</v>
      </c>
    </row>
    <row r="23" spans="1:3">
      <c r="A23">
        <v>32</v>
      </c>
      <c r="B23">
        <v>4.1250000000000009</v>
      </c>
      <c r="C23">
        <v>12</v>
      </c>
    </row>
    <row r="24" spans="1:3">
      <c r="A24">
        <v>47</v>
      </c>
      <c r="B24">
        <v>4.1666666666666652</v>
      </c>
      <c r="C24">
        <v>21</v>
      </c>
    </row>
    <row r="25" spans="1:3">
      <c r="A25">
        <v>28</v>
      </c>
      <c r="B25">
        <v>4.1366666666666667</v>
      </c>
      <c r="C25">
        <v>30</v>
      </c>
    </row>
    <row r="26" spans="1:3">
      <c r="A26">
        <v>88</v>
      </c>
      <c r="B26">
        <v>3.8499999999999996</v>
      </c>
      <c r="C26">
        <v>6</v>
      </c>
    </row>
    <row r="27" spans="1:3">
      <c r="A27">
        <v>38</v>
      </c>
      <c r="B27">
        <v>4.0676470588235283</v>
      </c>
      <c r="C27">
        <v>34</v>
      </c>
    </row>
    <row r="28" spans="1:3">
      <c r="A28">
        <v>53</v>
      </c>
      <c r="B28">
        <v>4.1107142857142858</v>
      </c>
      <c r="C28">
        <v>28</v>
      </c>
    </row>
    <row r="29" spans="1:3">
      <c r="A29">
        <v>16</v>
      </c>
      <c r="B29">
        <v>4.0571428571428569</v>
      </c>
      <c r="C29">
        <v>8</v>
      </c>
    </row>
    <row r="30" spans="1:3">
      <c r="A30">
        <v>59</v>
      </c>
      <c r="B30">
        <v>4.081818181818182</v>
      </c>
      <c r="C30">
        <v>22</v>
      </c>
    </row>
    <row r="31" spans="1:3">
      <c r="A31">
        <v>84</v>
      </c>
      <c r="B31">
        <v>3.9000000000000004</v>
      </c>
      <c r="C31">
        <v>2</v>
      </c>
    </row>
    <row r="32" spans="1:3">
      <c r="A32">
        <v>36</v>
      </c>
      <c r="B32">
        <v>4.07</v>
      </c>
      <c r="C32">
        <v>10</v>
      </c>
    </row>
    <row r="33" spans="1:3">
      <c r="A33">
        <v>8</v>
      </c>
      <c r="B33">
        <v>4</v>
      </c>
      <c r="C33">
        <v>5</v>
      </c>
    </row>
    <row r="34" spans="1:3">
      <c r="A34">
        <v>75</v>
      </c>
      <c r="B34">
        <v>4.068965517241379</v>
      </c>
      <c r="C34">
        <v>29</v>
      </c>
    </row>
    <row r="35" spans="1:3">
      <c r="A35">
        <v>7</v>
      </c>
      <c r="B35">
        <v>4.1999999999999993</v>
      </c>
      <c r="C35">
        <v>2</v>
      </c>
    </row>
    <row r="36" spans="1:3">
      <c r="A36">
        <v>42</v>
      </c>
      <c r="B36">
        <v>4.2099999999999991</v>
      </c>
      <c r="C36">
        <v>20</v>
      </c>
    </row>
    <row r="37" spans="1:3">
      <c r="A37">
        <v>57</v>
      </c>
      <c r="B37">
        <v>4.0363636363636353</v>
      </c>
      <c r="C37">
        <v>22</v>
      </c>
    </row>
    <row r="38" spans="1:3">
      <c r="A38">
        <v>80</v>
      </c>
      <c r="B38">
        <v>4.0891891891891889</v>
      </c>
      <c r="C38">
        <v>37</v>
      </c>
    </row>
    <row r="39" spans="1:3">
      <c r="A39">
        <v>18</v>
      </c>
      <c r="B39">
        <v>4.1083333333333334</v>
      </c>
      <c r="C39">
        <v>12</v>
      </c>
    </row>
    <row r="40" spans="1:3">
      <c r="A40">
        <v>34</v>
      </c>
      <c r="B40">
        <v>4.0777777777777775</v>
      </c>
      <c r="C40">
        <v>9</v>
      </c>
    </row>
    <row r="41" spans="1:3">
      <c r="A41">
        <v>71</v>
      </c>
      <c r="B41">
        <v>4.01</v>
      </c>
      <c r="C41">
        <v>10</v>
      </c>
    </row>
    <row r="42" spans="1:3">
      <c r="A42">
        <v>40</v>
      </c>
      <c r="B42">
        <v>4.0785714285714292</v>
      </c>
      <c r="C42">
        <v>28</v>
      </c>
    </row>
    <row r="43" spans="1:3">
      <c r="A43">
        <v>55</v>
      </c>
      <c r="B43">
        <v>4.1249999999999991</v>
      </c>
      <c r="C43">
        <v>36</v>
      </c>
    </row>
    <row r="44" spans="1:3">
      <c r="A44">
        <v>17</v>
      </c>
      <c r="B44">
        <v>4.1181818181818173</v>
      </c>
      <c r="C44">
        <v>11</v>
      </c>
    </row>
    <row r="45" spans="1:3">
      <c r="A45">
        <v>67</v>
      </c>
      <c r="B45">
        <v>3.9083333333333328</v>
      </c>
      <c r="C45">
        <v>12</v>
      </c>
    </row>
    <row r="46" spans="1:3">
      <c r="A46">
        <v>74</v>
      </c>
      <c r="B46">
        <v>3.9666666666666668</v>
      </c>
      <c r="C46">
        <v>9</v>
      </c>
    </row>
    <row r="47" spans="1:3">
      <c r="A47">
        <v>46</v>
      </c>
      <c r="B47">
        <v>4.1380952380952376</v>
      </c>
      <c r="C47">
        <v>21</v>
      </c>
    </row>
    <row r="48" spans="1:3">
      <c r="A48">
        <v>61</v>
      </c>
      <c r="B48">
        <v>4.1250000000000009</v>
      </c>
      <c r="C48">
        <v>20</v>
      </c>
    </row>
    <row r="49" spans="1:3">
      <c r="A49">
        <v>20</v>
      </c>
      <c r="B49">
        <v>4.2214285714285715</v>
      </c>
      <c r="C49">
        <v>14</v>
      </c>
    </row>
    <row r="50" spans="1:3">
      <c r="A50">
        <v>79</v>
      </c>
      <c r="B50">
        <v>4.0249999999999995</v>
      </c>
      <c r="C50">
        <v>8</v>
      </c>
    </row>
    <row r="51" spans="1:3">
      <c r="A51">
        <v>70</v>
      </c>
      <c r="B51">
        <v>4.1642857142857146</v>
      </c>
      <c r="C51">
        <v>28</v>
      </c>
    </row>
    <row r="52" spans="1:3">
      <c r="A52">
        <v>23</v>
      </c>
      <c r="B52">
        <v>4.1545454545454543</v>
      </c>
      <c r="C52">
        <v>11</v>
      </c>
    </row>
    <row r="53" spans="1:3">
      <c r="A53">
        <v>44</v>
      </c>
      <c r="B53">
        <v>4.1130434782608702</v>
      </c>
      <c r="C53">
        <v>23</v>
      </c>
    </row>
    <row r="54" spans="1:3">
      <c r="A54">
        <v>10</v>
      </c>
      <c r="B54">
        <v>4.16</v>
      </c>
      <c r="C54">
        <v>10</v>
      </c>
    </row>
    <row r="55" spans="1:3">
      <c r="A55">
        <v>19</v>
      </c>
      <c r="B55">
        <v>4.1333333333333329</v>
      </c>
      <c r="C55">
        <v>9</v>
      </c>
    </row>
    <row r="56" spans="1:3">
      <c r="A56">
        <v>91</v>
      </c>
      <c r="B56">
        <v>4.2</v>
      </c>
      <c r="C56">
        <v>5</v>
      </c>
    </row>
    <row r="57" spans="1:3">
      <c r="A57">
        <v>50</v>
      </c>
      <c r="B57">
        <v>4.0946428571428566</v>
      </c>
      <c r="C57">
        <v>56</v>
      </c>
    </row>
    <row r="58" spans="1:3">
      <c r="A58">
        <v>66</v>
      </c>
      <c r="B58">
        <v>4.1954545454545453</v>
      </c>
      <c r="C58">
        <v>22</v>
      </c>
    </row>
    <row r="59" spans="1:3">
      <c r="A59">
        <v>22</v>
      </c>
      <c r="B59">
        <v>4.126666666666666</v>
      </c>
      <c r="C59">
        <v>15</v>
      </c>
    </row>
    <row r="60" spans="1:3">
      <c r="A60">
        <v>4</v>
      </c>
      <c r="B60">
        <v>4.2</v>
      </c>
      <c r="C60">
        <v>4</v>
      </c>
    </row>
    <row r="61" spans="1:3">
      <c r="A61">
        <v>87</v>
      </c>
      <c r="B61">
        <v>3.8666666666666671</v>
      </c>
      <c r="C61">
        <v>3</v>
      </c>
    </row>
    <row r="62" spans="1:3">
      <c r="A62">
        <v>33</v>
      </c>
      <c r="B62">
        <v>4.1363636363636367</v>
      </c>
      <c r="C62">
        <v>22</v>
      </c>
    </row>
    <row r="63" spans="1:3">
      <c r="A63">
        <v>48</v>
      </c>
      <c r="B63">
        <v>3.968</v>
      </c>
      <c r="C63">
        <v>25</v>
      </c>
    </row>
    <row r="64" spans="1:3">
      <c r="A64">
        <v>63</v>
      </c>
      <c r="B64">
        <v>4.1259259259259267</v>
      </c>
      <c r="C64">
        <v>27</v>
      </c>
    </row>
    <row r="65" spans="1:3">
      <c r="A65">
        <v>21</v>
      </c>
      <c r="B65">
        <v>4.1571428571428575</v>
      </c>
      <c r="C65">
        <v>14</v>
      </c>
    </row>
    <row r="66" spans="1:3">
      <c r="A66">
        <v>9</v>
      </c>
      <c r="B66">
        <v>4.2</v>
      </c>
      <c r="C66">
        <v>1</v>
      </c>
    </row>
    <row r="67" spans="1:3">
      <c r="A67">
        <v>83</v>
      </c>
      <c r="B67">
        <v>3.96</v>
      </c>
      <c r="C67">
        <v>5</v>
      </c>
    </row>
    <row r="68" spans="1:3">
      <c r="A68">
        <v>54</v>
      </c>
      <c r="B68">
        <v>3.9909090909090903</v>
      </c>
      <c r="C68">
        <v>22</v>
      </c>
    </row>
    <row r="69" spans="1:3">
      <c r="A69">
        <v>24</v>
      </c>
      <c r="B69">
        <v>4.3071428571428569</v>
      </c>
      <c r="C69">
        <v>14</v>
      </c>
    </row>
    <row r="70" spans="1:3">
      <c r="A70">
        <v>65</v>
      </c>
      <c r="B70">
        <v>4.0741935483870959</v>
      </c>
      <c r="C70">
        <v>31</v>
      </c>
    </row>
    <row r="71" spans="1:3">
      <c r="A71">
        <v>60</v>
      </c>
      <c r="B71">
        <v>3.9910714285714279</v>
      </c>
      <c r="C71">
        <v>56</v>
      </c>
    </row>
    <row r="72" spans="1:3">
      <c r="A72">
        <v>86</v>
      </c>
      <c r="B72">
        <v>3.6750000000000003</v>
      </c>
      <c r="C72">
        <v>4</v>
      </c>
    </row>
    <row r="73" spans="1:3">
      <c r="A73">
        <v>27</v>
      </c>
      <c r="B73">
        <v>4.2133333333333338</v>
      </c>
      <c r="C73">
        <v>15</v>
      </c>
    </row>
    <row r="74" spans="1:3">
      <c r="A74">
        <v>37</v>
      </c>
      <c r="B74">
        <v>4.1214285714285719</v>
      </c>
      <c r="C74">
        <v>14</v>
      </c>
    </row>
    <row r="75" spans="1:3">
      <c r="A75">
        <v>52</v>
      </c>
      <c r="B75">
        <v>4.0769230769230766</v>
      </c>
      <c r="C75">
        <v>13</v>
      </c>
    </row>
    <row r="76" spans="1:3">
      <c r="A76">
        <v>12</v>
      </c>
      <c r="B76">
        <v>4.26</v>
      </c>
      <c r="C76">
        <v>5</v>
      </c>
    </row>
    <row r="77" spans="1:3">
      <c r="A77">
        <v>58</v>
      </c>
      <c r="B77">
        <v>4.0478260869565226</v>
      </c>
      <c r="C77">
        <v>23</v>
      </c>
    </row>
    <row r="78" spans="1:3">
      <c r="A78">
        <v>82</v>
      </c>
      <c r="B78">
        <v>4.08</v>
      </c>
      <c r="C78">
        <v>5</v>
      </c>
    </row>
    <row r="79" spans="1:3">
      <c r="A79">
        <v>26</v>
      </c>
      <c r="B79">
        <v>4.1142857142857139</v>
      </c>
      <c r="C79">
        <v>14</v>
      </c>
    </row>
    <row r="80" spans="1:3">
      <c r="A80">
        <v>35</v>
      </c>
      <c r="B80">
        <v>4.0166666666666657</v>
      </c>
      <c r="C80">
        <v>18</v>
      </c>
    </row>
    <row r="81" spans="1:3">
      <c r="A81">
        <v>5</v>
      </c>
      <c r="B81">
        <v>4.3000000000000007</v>
      </c>
      <c r="C81">
        <v>4</v>
      </c>
    </row>
    <row r="82" spans="1:3">
      <c r="A82">
        <v>73</v>
      </c>
      <c r="B82">
        <v>4.15625</v>
      </c>
      <c r="C82">
        <v>16</v>
      </c>
    </row>
    <row r="83" spans="1:3">
      <c r="A83">
        <v>94</v>
      </c>
      <c r="B83">
        <v>4.3</v>
      </c>
      <c r="C83">
        <v>1</v>
      </c>
    </row>
    <row r="84" spans="1:3">
      <c r="A84">
        <v>41</v>
      </c>
      <c r="B84">
        <v>4.1523809523809518</v>
      </c>
      <c r="C84">
        <v>21</v>
      </c>
    </row>
    <row r="85" spans="1:3">
      <c r="A85">
        <v>56</v>
      </c>
      <c r="B85">
        <v>4.1882352941176473</v>
      </c>
      <c r="C85">
        <v>17</v>
      </c>
    </row>
    <row r="86" spans="1:3">
      <c r="A86">
        <v>78</v>
      </c>
      <c r="B86">
        <v>3.9266666666666663</v>
      </c>
      <c r="C86">
        <v>15</v>
      </c>
    </row>
    <row r="87" spans="1:3">
      <c r="A87">
        <v>25</v>
      </c>
      <c r="B87">
        <v>4.1478260869565204</v>
      </c>
      <c r="C87">
        <v>23</v>
      </c>
    </row>
    <row r="88" spans="1:3">
      <c r="A88">
        <v>11</v>
      </c>
      <c r="B88">
        <v>4.0375000000000005</v>
      </c>
      <c r="C88">
        <v>8</v>
      </c>
    </row>
    <row r="89" spans="1:3">
      <c r="A89">
        <v>69</v>
      </c>
      <c r="B89">
        <v>4.1823529411764708</v>
      </c>
      <c r="C89">
        <v>17</v>
      </c>
    </row>
    <row r="90" spans="1:3">
      <c r="A90">
        <v>2</v>
      </c>
      <c r="B90">
        <v>4.5</v>
      </c>
      <c r="C90">
        <v>2</v>
      </c>
    </row>
    <row r="91" spans="1:3">
      <c r="A91">
        <v>90</v>
      </c>
      <c r="B91">
        <v>3.9874999999999998</v>
      </c>
      <c r="C91">
        <v>8</v>
      </c>
    </row>
    <row r="92" spans="1:3">
      <c r="A92">
        <v>39</v>
      </c>
      <c r="B92">
        <v>4.1461538461538456</v>
      </c>
      <c r="C92">
        <v>13</v>
      </c>
    </row>
    <row r="93" spans="1: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9238-9F99-4110-84AD-EB0B80B5A8F2}">
  <dimension ref="A1:D2"/>
  <sheetViews>
    <sheetView workbookViewId="0">
      <selection activeCell="H11" sqref="H11"/>
    </sheetView>
  </sheetViews>
  <sheetFormatPr defaultRowHeight="14"/>
  <cols>
    <col min="1" max="1" width="15.4140625" bestFit="1" customWidth="1"/>
    <col min="2" max="2" width="14.25" bestFit="1" customWidth="1"/>
    <col min="3" max="3" width="12" bestFit="1" customWidth="1"/>
    <col min="4" max="4" width="14" bestFit="1" customWidth="1"/>
  </cols>
  <sheetData>
    <row r="1" spans="1:4">
      <c r="A1" t="s">
        <v>1</v>
      </c>
      <c r="B1" t="s">
        <v>2</v>
      </c>
      <c r="C1" t="s">
        <v>3</v>
      </c>
      <c r="D1" t="s">
        <v>15</v>
      </c>
    </row>
    <row r="2" spans="1:4">
      <c r="A2">
        <v>1465</v>
      </c>
      <c r="B2">
        <v>26766377</v>
      </c>
      <c r="C2">
        <v>4.0965846994535662</v>
      </c>
      <c r="D2">
        <v>47.691467576791808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34A3-3B5D-4813-A350-B0D3F1AD3529}">
  <dimension ref="A1:C2"/>
  <sheetViews>
    <sheetView topLeftCell="D1" workbookViewId="0">
      <selection sqref="A1:C2"/>
    </sheetView>
  </sheetViews>
  <sheetFormatPr defaultRowHeight="14"/>
  <cols>
    <col min="1" max="1" width="15.58203125" bestFit="1" customWidth="1"/>
    <col min="2" max="2" width="15.4140625" bestFit="1" customWidth="1"/>
    <col min="3" max="3" width="12" bestFit="1" customWidth="1"/>
  </cols>
  <sheetData>
    <row r="1" spans="1:3">
      <c r="A1" t="s">
        <v>16</v>
      </c>
      <c r="B1" t="s">
        <v>1</v>
      </c>
      <c r="C1" t="s">
        <v>3</v>
      </c>
    </row>
    <row r="2" spans="1:3">
      <c r="A2" t="s">
        <v>17</v>
      </c>
      <c r="B2">
        <v>1465</v>
      </c>
      <c r="C2">
        <v>4.0965846994535662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A57C-79AB-4338-9C48-EFA1268103E0}">
  <dimension ref="A1:E51"/>
  <sheetViews>
    <sheetView tabSelected="1" workbookViewId="0">
      <selection activeCell="C16" sqref="C16"/>
    </sheetView>
  </sheetViews>
  <sheetFormatPr defaultRowHeight="14"/>
  <cols>
    <col min="1" max="1" width="36.58203125" bestFit="1" customWidth="1"/>
    <col min="2" max="2" width="21.33203125" bestFit="1" customWidth="1"/>
    <col min="3" max="3" width="23.25" bestFit="1" customWidth="1"/>
    <col min="4" max="4" width="13.33203125" bestFit="1" customWidth="1"/>
    <col min="5" max="5" width="18.9140625" bestFit="1" customWidth="1"/>
  </cols>
  <sheetData>
    <row r="1" spans="1:5">
      <c r="A1" t="s">
        <v>18</v>
      </c>
      <c r="B1" t="s">
        <v>0</v>
      </c>
      <c r="C1" t="s">
        <v>19</v>
      </c>
      <c r="D1" t="s">
        <v>20</v>
      </c>
      <c r="E1" t="s">
        <v>21</v>
      </c>
    </row>
    <row r="2" spans="1:5">
      <c r="A2" t="s">
        <v>22</v>
      </c>
      <c r="B2" t="s">
        <v>6</v>
      </c>
      <c r="D2">
        <v>4.4000000000000004</v>
      </c>
      <c r="E2">
        <v>426973</v>
      </c>
    </row>
    <row r="3" spans="1:5">
      <c r="A3" t="s">
        <v>23</v>
      </c>
      <c r="B3" t="s">
        <v>6</v>
      </c>
      <c r="D3">
        <v>4.4000000000000004</v>
      </c>
      <c r="E3">
        <v>426973</v>
      </c>
    </row>
    <row r="4" spans="1:5">
      <c r="A4" t="s">
        <v>24</v>
      </c>
      <c r="B4" t="s">
        <v>6</v>
      </c>
      <c r="D4">
        <v>4.4000000000000004</v>
      </c>
      <c r="E4">
        <v>426973</v>
      </c>
    </row>
    <row r="5" spans="1:5">
      <c r="A5" t="s">
        <v>22</v>
      </c>
      <c r="B5" t="s">
        <v>6</v>
      </c>
      <c r="D5">
        <v>4.4000000000000004</v>
      </c>
      <c r="E5">
        <v>426972</v>
      </c>
    </row>
    <row r="6" spans="1:5">
      <c r="A6" t="s">
        <v>25</v>
      </c>
      <c r="B6" t="s">
        <v>6</v>
      </c>
      <c r="D6">
        <v>4.0999999999999996</v>
      </c>
      <c r="E6">
        <v>363713</v>
      </c>
    </row>
    <row r="7" spans="1:5">
      <c r="A7" t="s">
        <v>26</v>
      </c>
      <c r="B7" t="s">
        <v>6</v>
      </c>
      <c r="D7">
        <v>4.0999999999999996</v>
      </c>
      <c r="E7">
        <v>363713</v>
      </c>
    </row>
    <row r="8" spans="1:5">
      <c r="A8" t="s">
        <v>27</v>
      </c>
      <c r="B8" t="s">
        <v>6</v>
      </c>
      <c r="D8">
        <v>4.0999999999999996</v>
      </c>
      <c r="E8">
        <v>363711</v>
      </c>
    </row>
    <row r="9" spans="1:5">
      <c r="A9" t="s">
        <v>28</v>
      </c>
      <c r="B9" t="s">
        <v>6</v>
      </c>
      <c r="D9">
        <v>4.0999999999999996</v>
      </c>
      <c r="E9">
        <v>313836</v>
      </c>
    </row>
    <row r="10" spans="1:5">
      <c r="A10" t="s">
        <v>29</v>
      </c>
      <c r="B10" t="s">
        <v>6</v>
      </c>
      <c r="D10">
        <v>4.0999999999999996</v>
      </c>
      <c r="E10">
        <v>313836</v>
      </c>
    </row>
    <row r="11" spans="1:5">
      <c r="A11" t="s">
        <v>30</v>
      </c>
      <c r="B11" t="s">
        <v>6</v>
      </c>
      <c r="D11">
        <v>4.0999999999999996</v>
      </c>
      <c r="E11">
        <v>313832</v>
      </c>
    </row>
    <row r="12" spans="1:5">
      <c r="A12" t="s">
        <v>31</v>
      </c>
      <c r="B12" t="s">
        <v>6</v>
      </c>
      <c r="D12">
        <v>4.0999999999999996</v>
      </c>
      <c r="E12">
        <v>313832</v>
      </c>
    </row>
    <row r="13" spans="1:5">
      <c r="A13" t="s">
        <v>32</v>
      </c>
      <c r="B13" t="s">
        <v>6</v>
      </c>
      <c r="D13">
        <v>4.0999999999999996</v>
      </c>
      <c r="E13">
        <v>273189</v>
      </c>
    </row>
    <row r="14" spans="1:5">
      <c r="A14" t="s">
        <v>33</v>
      </c>
      <c r="B14" t="s">
        <v>8</v>
      </c>
      <c r="D14">
        <v>4.0999999999999996</v>
      </c>
      <c r="E14">
        <v>270563</v>
      </c>
    </row>
    <row r="15" spans="1:5">
      <c r="A15" t="s">
        <v>34</v>
      </c>
      <c r="B15" t="s">
        <v>5</v>
      </c>
      <c r="D15">
        <v>4.3</v>
      </c>
      <c r="E15">
        <v>253105</v>
      </c>
    </row>
    <row r="16" spans="1:5">
      <c r="A16" t="s">
        <v>35</v>
      </c>
      <c r="B16" t="s">
        <v>6</v>
      </c>
      <c r="D16">
        <v>4.5</v>
      </c>
      <c r="E16">
        <v>205052</v>
      </c>
    </row>
    <row r="17" spans="1:5">
      <c r="A17" t="s">
        <v>36</v>
      </c>
      <c r="B17" t="s">
        <v>6</v>
      </c>
      <c r="D17">
        <v>4.0999999999999996</v>
      </c>
      <c r="E17">
        <v>192590</v>
      </c>
    </row>
    <row r="18" spans="1:5">
      <c r="A18" t="s">
        <v>37</v>
      </c>
      <c r="B18" t="s">
        <v>6</v>
      </c>
      <c r="D18">
        <v>4.0999999999999996</v>
      </c>
      <c r="E18">
        <v>192589</v>
      </c>
    </row>
    <row r="19" spans="1:5">
      <c r="A19" t="s">
        <v>36</v>
      </c>
      <c r="B19" t="s">
        <v>6</v>
      </c>
      <c r="D19">
        <v>4.0999999999999996</v>
      </c>
      <c r="E19">
        <v>192587</v>
      </c>
    </row>
    <row r="20" spans="1:5">
      <c r="A20" t="s">
        <v>38</v>
      </c>
      <c r="B20" t="s">
        <v>5</v>
      </c>
      <c r="D20">
        <v>4.3</v>
      </c>
      <c r="E20">
        <v>189104</v>
      </c>
    </row>
    <row r="21" spans="1:5">
      <c r="A21" t="s">
        <v>39</v>
      </c>
      <c r="B21" t="s">
        <v>6</v>
      </c>
      <c r="D21">
        <v>3.8</v>
      </c>
      <c r="E21">
        <v>180998</v>
      </c>
    </row>
    <row r="22" spans="1:5">
      <c r="A22" t="s">
        <v>40</v>
      </c>
      <c r="B22" t="s">
        <v>5</v>
      </c>
      <c r="D22">
        <v>4.2</v>
      </c>
      <c r="E22">
        <v>179692</v>
      </c>
    </row>
    <row r="23" spans="1:5">
      <c r="A23" t="s">
        <v>41</v>
      </c>
      <c r="B23" t="s">
        <v>5</v>
      </c>
      <c r="D23">
        <v>4.2</v>
      </c>
      <c r="E23">
        <v>179691</v>
      </c>
    </row>
    <row r="24" spans="1:5">
      <c r="A24" t="s">
        <v>42</v>
      </c>
      <c r="B24" t="s">
        <v>5</v>
      </c>
      <c r="D24">
        <v>4.2</v>
      </c>
      <c r="E24">
        <v>179691</v>
      </c>
    </row>
    <row r="25" spans="1:5">
      <c r="A25" t="s">
        <v>43</v>
      </c>
      <c r="B25" t="s">
        <v>6</v>
      </c>
      <c r="D25">
        <v>4.3</v>
      </c>
      <c r="E25">
        <v>178912</v>
      </c>
    </row>
    <row r="26" spans="1:5">
      <c r="A26" t="s">
        <v>44</v>
      </c>
      <c r="B26" t="s">
        <v>6</v>
      </c>
      <c r="D26">
        <v>4.3</v>
      </c>
      <c r="E26">
        <v>178912</v>
      </c>
    </row>
    <row r="27" spans="1:5">
      <c r="A27" t="s">
        <v>45</v>
      </c>
      <c r="B27" t="s">
        <v>6</v>
      </c>
      <c r="D27">
        <v>4.3</v>
      </c>
      <c r="E27">
        <v>178912</v>
      </c>
    </row>
    <row r="28" spans="1:5">
      <c r="A28" t="s">
        <v>46</v>
      </c>
      <c r="B28" t="s">
        <v>5</v>
      </c>
      <c r="D28">
        <v>4.0999999999999996</v>
      </c>
      <c r="E28">
        <v>178817</v>
      </c>
    </row>
    <row r="29" spans="1:5">
      <c r="A29" t="s">
        <v>47</v>
      </c>
      <c r="B29" t="s">
        <v>6</v>
      </c>
      <c r="D29">
        <v>4.0999999999999996</v>
      </c>
      <c r="E29">
        <v>161679</v>
      </c>
    </row>
    <row r="30" spans="1:5">
      <c r="A30" t="s">
        <v>48</v>
      </c>
      <c r="B30" t="s">
        <v>6</v>
      </c>
      <c r="D30">
        <v>4.0999999999999996</v>
      </c>
      <c r="E30">
        <v>161677</v>
      </c>
    </row>
    <row r="31" spans="1:5">
      <c r="A31" t="s">
        <v>49</v>
      </c>
      <c r="B31" t="s">
        <v>5</v>
      </c>
      <c r="D31">
        <v>4.2</v>
      </c>
      <c r="E31">
        <v>156638</v>
      </c>
    </row>
    <row r="32" spans="1:5">
      <c r="A32" t="s">
        <v>50</v>
      </c>
      <c r="B32" t="s">
        <v>6</v>
      </c>
      <c r="D32">
        <v>4.0999999999999996</v>
      </c>
      <c r="E32">
        <v>141841</v>
      </c>
    </row>
    <row r="33" spans="1:5">
      <c r="A33" t="s">
        <v>51</v>
      </c>
      <c r="B33" t="s">
        <v>6</v>
      </c>
      <c r="D33">
        <v>4.3</v>
      </c>
      <c r="E33">
        <v>140036</v>
      </c>
    </row>
    <row r="34" spans="1:5">
      <c r="A34" t="s">
        <v>52</v>
      </c>
      <c r="B34" t="s">
        <v>6</v>
      </c>
      <c r="D34">
        <v>4.3</v>
      </c>
      <c r="E34">
        <v>140036</v>
      </c>
    </row>
    <row r="35" spans="1:5">
      <c r="A35" t="s">
        <v>51</v>
      </c>
      <c r="B35" t="s">
        <v>6</v>
      </c>
      <c r="D35">
        <v>4.3</v>
      </c>
      <c r="E35">
        <v>140035</v>
      </c>
    </row>
    <row r="36" spans="1:5">
      <c r="A36" t="s">
        <v>53</v>
      </c>
      <c r="B36" t="s">
        <v>6</v>
      </c>
      <c r="D36">
        <v>3.9</v>
      </c>
      <c r="E36">
        <v>136954</v>
      </c>
    </row>
    <row r="37" spans="1:5">
      <c r="A37" t="s">
        <v>54</v>
      </c>
      <c r="B37" t="s">
        <v>6</v>
      </c>
      <c r="D37">
        <v>4</v>
      </c>
      <c r="E37">
        <v>128311</v>
      </c>
    </row>
    <row r="38" spans="1:5">
      <c r="A38" t="s">
        <v>55</v>
      </c>
      <c r="B38" t="s">
        <v>6</v>
      </c>
      <c r="D38">
        <v>4</v>
      </c>
      <c r="E38">
        <v>128311</v>
      </c>
    </row>
    <row r="39" spans="1:5">
      <c r="A39" t="s">
        <v>56</v>
      </c>
      <c r="B39" t="s">
        <v>6</v>
      </c>
      <c r="D39">
        <v>4</v>
      </c>
      <c r="E39">
        <v>128311</v>
      </c>
    </row>
    <row r="40" spans="1:5">
      <c r="A40" t="s">
        <v>57</v>
      </c>
      <c r="B40" t="s">
        <v>6</v>
      </c>
      <c r="D40">
        <v>4</v>
      </c>
      <c r="E40">
        <v>128311</v>
      </c>
    </row>
    <row r="41" spans="1:5">
      <c r="A41" t="s">
        <v>58</v>
      </c>
      <c r="B41" t="s">
        <v>8</v>
      </c>
      <c r="D41">
        <v>3.9</v>
      </c>
      <c r="E41">
        <v>123365</v>
      </c>
    </row>
    <row r="42" spans="1:5">
      <c r="A42" t="s">
        <v>59</v>
      </c>
      <c r="B42" t="s">
        <v>5</v>
      </c>
      <c r="D42">
        <v>4.2</v>
      </c>
      <c r="E42">
        <v>122478</v>
      </c>
    </row>
    <row r="43" spans="1:5">
      <c r="A43" t="s">
        <v>60</v>
      </c>
      <c r="B43" t="s">
        <v>6</v>
      </c>
      <c r="D43">
        <v>4.0999999999999996</v>
      </c>
      <c r="E43">
        <v>119466</v>
      </c>
    </row>
    <row r="44" spans="1:5">
      <c r="A44" t="s">
        <v>61</v>
      </c>
      <c r="B44" t="s">
        <v>6</v>
      </c>
      <c r="D44">
        <v>4.0999999999999996</v>
      </c>
      <c r="E44">
        <v>109864</v>
      </c>
    </row>
    <row r="45" spans="1:5">
      <c r="A45" t="s">
        <v>62</v>
      </c>
      <c r="B45" t="s">
        <v>5</v>
      </c>
      <c r="D45">
        <v>4.5</v>
      </c>
      <c r="E45">
        <v>107687</v>
      </c>
    </row>
    <row r="46" spans="1:5">
      <c r="A46" t="s">
        <v>62</v>
      </c>
      <c r="B46" t="s">
        <v>5</v>
      </c>
      <c r="D46">
        <v>4.5</v>
      </c>
      <c r="E46">
        <v>107686</v>
      </c>
    </row>
    <row r="47" spans="1:5">
      <c r="A47" t="s">
        <v>63</v>
      </c>
      <c r="B47" t="s">
        <v>6</v>
      </c>
      <c r="D47">
        <v>4.0999999999999996</v>
      </c>
      <c r="E47">
        <v>107151</v>
      </c>
    </row>
    <row r="48" spans="1:5">
      <c r="A48" t="s">
        <v>64</v>
      </c>
      <c r="B48" t="s">
        <v>6</v>
      </c>
      <c r="D48">
        <v>3.8</v>
      </c>
      <c r="E48">
        <v>103052</v>
      </c>
    </row>
    <row r="49" spans="1:5">
      <c r="A49" t="s">
        <v>65</v>
      </c>
      <c r="B49" t="s">
        <v>6</v>
      </c>
      <c r="D49">
        <v>4.0999999999999996</v>
      </c>
      <c r="E49">
        <v>98250</v>
      </c>
    </row>
    <row r="50" spans="1:5">
      <c r="A50" t="s">
        <v>66</v>
      </c>
      <c r="B50" t="s">
        <v>6</v>
      </c>
      <c r="D50">
        <v>4.0999999999999996</v>
      </c>
      <c r="E50">
        <v>97175</v>
      </c>
    </row>
    <row r="51" spans="1:5">
      <c r="A51" t="s">
        <v>66</v>
      </c>
      <c r="B51" t="s">
        <v>6</v>
      </c>
      <c r="D51">
        <v>4.0999999999999996</v>
      </c>
      <c r="E51">
        <v>97174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01964-B1FC-41CA-8F8F-64EC481D32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vw_category_performance</vt:lpstr>
      <vt:lpstr>vw_discount_analysis</vt:lpstr>
      <vt:lpstr>vw_kpi_summary</vt:lpstr>
      <vt:lpstr>vw_price_segment</vt:lpstr>
      <vt:lpstr>vw_top_products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Ravikumar Kunchala</dc:creator>
  <cp:lastModifiedBy>Kunchala, Ravi kumar</cp:lastModifiedBy>
  <dcterms:created xsi:type="dcterms:W3CDTF">2026-04-23T14:00:22Z</dcterms:created>
  <dcterms:modified xsi:type="dcterms:W3CDTF">2026-04-24T00:40:49Z</dcterms:modified>
</cp:coreProperties>
</file>